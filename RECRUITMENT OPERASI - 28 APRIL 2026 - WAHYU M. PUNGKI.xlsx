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7725" firstSheet="4" activeTab="4"/>
  </bookViews>
  <sheets>
    <sheet name="PERTANYAAN" sheetId="3" r:id="rId1"/>
    <sheet name="REKAP" sheetId="8" r:id="rId2"/>
    <sheet name="RESUME" sheetId="5" r:id="rId3"/>
    <sheet name="PENILAIAN-HR" sheetId="1" r:id="rId4"/>
    <sheet name="PENILAIAN-ILHAM" sheetId="4" r:id="rId5"/>
    <sheet name="PENILAIAN-DICKY" sheetId="13" r:id="rId6"/>
    <sheet name="PENILAIAN-DONY" sheetId="14" r:id="rId7"/>
  </sheets>
  <calcPr calcId="144525"/>
</workbook>
</file>

<file path=xl/sharedStrings.xml><?xml version="1.0" encoding="utf-8"?>
<sst xmlns="http://schemas.openxmlformats.org/spreadsheetml/2006/main" count="972" uniqueCount="165">
  <si>
    <t>FORM PENILAIAN PEGAWAI &amp; CALON PEGAWAI</t>
  </si>
  <si>
    <t>DANISWARA GROUP</t>
  </si>
  <si>
    <t>NAMA</t>
  </si>
  <si>
    <t>:</t>
  </si>
  <si>
    <t>POSISI PELAMAR</t>
  </si>
  <si>
    <t>STAFF OPERASI</t>
  </si>
  <si>
    <t>PENEMPATAN</t>
  </si>
  <si>
    <t>IKN - KALIMANTAN TIMUR</t>
  </si>
  <si>
    <t>DIVISI</t>
  </si>
  <si>
    <t>OPERASI</t>
  </si>
  <si>
    <t>BUDGET SALARY</t>
  </si>
  <si>
    <t>RANGE 4 JT - 4,8 JT (ALL IN - IKN)</t>
  </si>
  <si>
    <t>HR</t>
  </si>
  <si>
    <t>ANGGY PERMANA PUTRA</t>
  </si>
  <si>
    <t>HASIL PENILAIAN</t>
  </si>
  <si>
    <t>KODE ACC</t>
  </si>
  <si>
    <t>NO.</t>
  </si>
  <si>
    <t>KATEGORI</t>
  </si>
  <si>
    <t>PERTANYAAN</t>
  </si>
  <si>
    <t>BOBOT</t>
  </si>
  <si>
    <t>CHECK</t>
  </si>
  <si>
    <t>PENILAIAN</t>
  </si>
  <si>
    <t>HASIL</t>
  </si>
  <si>
    <t>KETERANGAN</t>
  </si>
  <si>
    <t>ADA</t>
  </si>
  <si>
    <t>TIDAK</t>
  </si>
  <si>
    <t>SK</t>
  </si>
  <si>
    <t>K</t>
  </si>
  <si>
    <t>R</t>
  </si>
  <si>
    <t>B</t>
  </si>
  <si>
    <t>SB</t>
  </si>
  <si>
    <t>GRAND TOTAL PENILAIAN</t>
  </si>
  <si>
    <t>A</t>
  </si>
  <si>
    <t>PENGALAMAN</t>
  </si>
  <si>
    <t>A100</t>
  </si>
  <si>
    <t>Pengalaman di dalam Daniswara Group</t>
  </si>
  <si>
    <t>Apakah ada Pengalaman di Daniswara Group? Bagaimana pandangan anda terkait Daniswara Group?</t>
  </si>
  <si>
    <t>V</t>
  </si>
  <si>
    <t>A200</t>
  </si>
  <si>
    <t>Pengalaman di luar Daniswara Group</t>
  </si>
  <si>
    <t>Jika tidak, apakah sudah ada pengalaman sejenis di luar Daniswara?</t>
  </si>
  <si>
    <t>ADMINISTRASI</t>
  </si>
  <si>
    <t>B100</t>
  </si>
  <si>
    <t>Identitas (KTP &amp; KK)</t>
  </si>
  <si>
    <t>Apakah ada Identitas Diri KTP &amp; KK?</t>
  </si>
  <si>
    <t>B200</t>
  </si>
  <si>
    <t>SIM A (utk jabatan di Divisi Operasi)</t>
  </si>
  <si>
    <t>Apakah sudah memiliki SIM A?</t>
  </si>
  <si>
    <t>B300</t>
  </si>
  <si>
    <t>SIM C</t>
  </si>
  <si>
    <t>Apakah sudah memiliki SIM C?</t>
  </si>
  <si>
    <t>B400</t>
  </si>
  <si>
    <t>NPWP</t>
  </si>
  <si>
    <t>Apakah sudah Memiliki NPWP?</t>
  </si>
  <si>
    <t>C</t>
  </si>
  <si>
    <t>HARD SKILL</t>
  </si>
  <si>
    <t>C100</t>
  </si>
  <si>
    <t>Operasi / Logistik</t>
  </si>
  <si>
    <t>C110</t>
  </si>
  <si>
    <t>-</t>
  </si>
  <si>
    <t>Skill Mengemudi</t>
  </si>
  <si>
    <t>Coba ceritakan pengalaman / keahlian dalam mengemudi mobil angkut/logistik?</t>
  </si>
  <si>
    <t>C120</t>
  </si>
  <si>
    <t>Flow Administrasi Logistik</t>
  </si>
  <si>
    <t>Coba ceritakan yang anda ketahui tentang alur administrasi logistik? Dan kaitannya dengan Ms. Office</t>
  </si>
  <si>
    <t>C130</t>
  </si>
  <si>
    <t>Pengetahuan terkait logistik</t>
  </si>
  <si>
    <t>Ceritakan yang anda ketahui terkait dengan logistik?</t>
  </si>
  <si>
    <t>C140</t>
  </si>
  <si>
    <t>Pengalaman di Bongkar Muat</t>
  </si>
  <si>
    <t>Apakah memiliki pengalaman terkait bongkar muat?sedalam apa?</t>
  </si>
  <si>
    <t>Keuangan</t>
  </si>
  <si>
    <t>Skill Akuntansi &amp; Input Data</t>
  </si>
  <si>
    <t>Microsoft Office</t>
  </si>
  <si>
    <t>Busdev &amp; HR</t>
  </si>
  <si>
    <t>Pengalaman Kreatif</t>
  </si>
  <si>
    <t>Organisasi Perusahaan &amp; Lembaga</t>
  </si>
  <si>
    <t>D</t>
  </si>
  <si>
    <t>SOFT SKILL</t>
  </si>
  <si>
    <t>D100</t>
  </si>
  <si>
    <t>Staff</t>
  </si>
  <si>
    <t>D110</t>
  </si>
  <si>
    <t>Kepemimpinan</t>
  </si>
  <si>
    <t>Jika terjadi suatu diskusi dalam group/kelompok yang belum menemukan titik temu, apa yang akan anda lakukan?</t>
  </si>
  <si>
    <t>D120</t>
  </si>
  <si>
    <t>Komunikasi</t>
  </si>
  <si>
    <t>Bagaimana hubungan kerjasama antar sesama pegawai / organisasi / kelompok?(jika memiliki pengalaman kerja)</t>
  </si>
  <si>
    <t>D130</t>
  </si>
  <si>
    <t>Patuh pada Peraturan / Commitment</t>
  </si>
  <si>
    <t>Bagaimana pandangan anda terkait perusahaan dan aturan yang dapat berubah ubah sesuai arah perusahaan?</t>
  </si>
  <si>
    <t>D140</t>
  </si>
  <si>
    <t>Determinasi thd tekanan</t>
  </si>
  <si>
    <t>Bagaimana pandangan anda jika anda dituntut pada pekerjaan diluar dari waktu normal dalam bekerja?</t>
  </si>
  <si>
    <t>Supervisor</t>
  </si>
  <si>
    <t>Patuh pada Peraturan</t>
  </si>
  <si>
    <t>Problem Solver</t>
  </si>
  <si>
    <t>Manager</t>
  </si>
  <si>
    <t>Inovasi</t>
  </si>
  <si>
    <t>E</t>
  </si>
  <si>
    <t>PSIKOLOGI INTERVIEW</t>
  </si>
  <si>
    <t>E100</t>
  </si>
  <si>
    <t>Antusiasme / Keinginan bergabung</t>
  </si>
  <si>
    <t>Apa yang anda pikirkan setelah mendengar / mengetahui Daniswara membutuhkan personil baru di posisi ini?</t>
  </si>
  <si>
    <t>E200</t>
  </si>
  <si>
    <t>Inisiatif</t>
  </si>
  <si>
    <t>Jika ada hal-hal yang kiranya belum diatur oleh perusahaan atau belum dapat arahan oleh atasan, apa yang biasanya anda lakukan?</t>
  </si>
  <si>
    <t>E300</t>
  </si>
  <si>
    <t>Adaptif</t>
  </si>
  <si>
    <t>Coba ceritakan pengalaman anda terkait dengan berada dalam lingkungan yang baru / hal yang baru?</t>
  </si>
  <si>
    <t>F</t>
  </si>
  <si>
    <t>SALARY &amp; PROSPEKTUS KARIR</t>
  </si>
  <si>
    <t>F100</t>
  </si>
  <si>
    <t>Ekspektasi Salary (Mengukur Budget &amp; Skill)</t>
  </si>
  <si>
    <t>Menurut anda, berapa ekspektasi salary/gaji yang anda inginkan? Bagaimana jika perusahaan belum memenuhinya?</t>
  </si>
  <si>
    <t>F200</t>
  </si>
  <si>
    <t>Tujuan Karir</t>
  </si>
  <si>
    <t>Sejauh yang anda tahu tentang Daniswara, apa tujuan anda berkarir/berkarya bersama Daniswara? Apa ada target posisi yang anda inginkan?</t>
  </si>
  <si>
    <t>G</t>
  </si>
  <si>
    <t>ADD USER QUESTION</t>
  </si>
  <si>
    <t>G100</t>
  </si>
  <si>
    <t>Pertanyaan Spesifik User</t>
  </si>
  <si>
    <t>Di karenakan ini 1 team dan berkumpul bersama 1 atap ( mess dan kantor ), bagaimana jika ada perselisihan?</t>
  </si>
  <si>
    <t>SANGAT KURANG</t>
  </si>
  <si>
    <t>KURANG</t>
  </si>
  <si>
    <t>RATA-RATA</t>
  </si>
  <si>
    <t>BAIK</t>
  </si>
  <si>
    <t>SANGAT BAIK</t>
  </si>
  <si>
    <t>REKAP HASIL PENILAIAN PEGAWAI &amp; CALON PEGAWAI</t>
  </si>
  <si>
    <t>NAMA PERSONIL</t>
  </si>
  <si>
    <t>JABATAN / CALON POSISI</t>
  </si>
  <si>
    <t>CATATAN</t>
  </si>
  <si>
    <t>USER-1</t>
  </si>
  <si>
    <t>USER-2</t>
  </si>
  <si>
    <t>MANAGER</t>
  </si>
  <si>
    <t>DENY FERDIANSYAH</t>
  </si>
  <si>
    <t>STAFF OPERASI - IKN</t>
  </si>
  <si>
    <t>DIAN</t>
  </si>
  <si>
    <t>STAFF OPERASI - DKI</t>
  </si>
  <si>
    <t>SADAM</t>
  </si>
  <si>
    <t>IMAM</t>
  </si>
  <si>
    <t>TAUFIK HIDAYATULLAH</t>
  </si>
  <si>
    <t>DENY</t>
  </si>
  <si>
    <t>PENILAI</t>
  </si>
  <si>
    <t>(HR)</t>
  </si>
  <si>
    <t>PENGALAMAN (jika ada)</t>
  </si>
  <si>
    <t>ILHAM AMBIA PUTRA</t>
  </si>
  <si>
    <t>DKI JAKARTA</t>
  </si>
  <si>
    <t>WAHYU M. PUNGKI</t>
  </si>
  <si>
    <t>(USER)</t>
  </si>
  <si>
    <t>UMR DEPOK (TERBUKA</t>
  </si>
  <si>
    <t>1. URIP</t>
  </si>
  <si>
    <t>TETAP PROFESIONAL JIKA MEMILIKI REKAN KERJA YANG MEMILIKI SIFAT BERBEDA</t>
  </si>
  <si>
    <t xml:space="preserve">2. WAHYU </t>
  </si>
  <si>
    <t>KELEMAHAN (KEKURANGAN DRIVER DAN MENGANTUK JAM SIANG)</t>
  </si>
  <si>
    <t>KELEBIHAN (CEPAT ADAPTASI &amp; SENANG BERTEMU ORANG BANYAK)</t>
  </si>
  <si>
    <t>MOHAMAD DICKY</t>
  </si>
  <si>
    <t>UMR DEPOK (TERBUKA)</t>
  </si>
  <si>
    <t>KOMUNIKASI AGAR TIDAK MISSCOM</t>
  </si>
  <si>
    <t>KELEMAHAN (PERFEKSIONIS &amp; SELALU MENGANUT ATURAN YANG BERLAKU)</t>
  </si>
  <si>
    <t>KELEBIHAN (ADAPTASI &amp; BERKOMUNIKASI DENGAN BAIK)</t>
  </si>
  <si>
    <t>M. DONI WASESO</t>
  </si>
  <si>
    <t>&gt;3JT / MENGIKUTI</t>
  </si>
  <si>
    <t xml:space="preserve">BERUSAHA MENGIMBANGI DENGAN LAWAN BICARA </t>
  </si>
  <si>
    <t xml:space="preserve">KEKURANGAN KOMUNIKASI &amp; </t>
  </si>
  <si>
    <t>KELEBIHAN TENAGA DAN KEPATUHAN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</si>
</sst>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0" fontId="0" fillId="0" borderId="0" xfId="3" applyNumberFormat="1" applyFont="1"/>
    <xf numFmtId="176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3" applyNumberFormat="1" applyFont="1"/>
    <xf numFmtId="17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0" fontId="1" fillId="2" borderId="2" xfId="3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0" fontId="0" fillId="2" borderId="2" xfId="3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10" fontId="1" fillId="3" borderId="3" xfId="3" applyNumberFormat="1" applyFont="1" applyFill="1" applyBorder="1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 wrapText="1"/>
    </xf>
    <xf numFmtId="10" fontId="0" fillId="0" borderId="3" xfId="3" applyNumberFormat="1" applyFont="1" applyBorder="1" applyAlignment="1">
      <alignment vertical="center" wrapText="1"/>
    </xf>
    <xf numFmtId="0" fontId="0" fillId="0" borderId="3" xfId="0" applyBorder="1"/>
    <xf numFmtId="10" fontId="0" fillId="0" borderId="3" xfId="3" applyNumberFormat="1" applyFont="1" applyBorder="1"/>
    <xf numFmtId="176" fontId="1" fillId="2" borderId="2" xfId="1" applyFont="1" applyFill="1" applyBorder="1" applyAlignment="1">
      <alignment horizontal="center" vertical="center"/>
    </xf>
    <xf numFmtId="10" fontId="0" fillId="0" borderId="3" xfId="3" applyNumberFormat="1" applyFont="1" applyBorder="1" applyAlignment="1">
      <alignment horizontal="center" vertical="center"/>
    </xf>
    <xf numFmtId="176" fontId="1" fillId="0" borderId="3" xfId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76" fontId="1" fillId="2" borderId="3" xfId="1" applyFont="1" applyFill="1" applyBorder="1" applyAlignment="1">
      <alignment horizontal="center" vertical="center"/>
    </xf>
    <xf numFmtId="176" fontId="1" fillId="3" borderId="3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3" borderId="3" xfId="3" applyNumberFormat="1" applyFont="1" applyFill="1" applyBorder="1"/>
    <xf numFmtId="176" fontId="0" fillId="3" borderId="3" xfId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176" fontId="1" fillId="2" borderId="3" xfId="1" applyFont="1" applyFill="1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10" fontId="0" fillId="0" borderId="4" xfId="3" applyNumberFormat="1" applyFont="1" applyBorder="1"/>
    <xf numFmtId="176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Alignment="1">
      <alignment vertical="center" wrapText="1"/>
    </xf>
    <xf numFmtId="176" fontId="1" fillId="2" borderId="5" xfId="1" applyFont="1" applyFill="1" applyBorder="1" applyAlignment="1">
      <alignment horizontal="center" vertical="center"/>
    </xf>
    <xf numFmtId="176" fontId="1" fillId="2" borderId="4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76" fontId="1" fillId="2" borderId="3" xfId="1" applyFont="1" applyFill="1" applyBorder="1" applyAlignment="1">
      <alignment horizontal="left" vertical="center"/>
    </xf>
    <xf numFmtId="176" fontId="1" fillId="3" borderId="3" xfId="1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176" fontId="0" fillId="0" borderId="3" xfId="1" applyFont="1" applyBorder="1" applyAlignment="1">
      <alignment horizontal="left" vertical="center"/>
    </xf>
    <xf numFmtId="176" fontId="0" fillId="3" borderId="3" xfId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0" fontId="1" fillId="2" borderId="3" xfId="3" applyNumberFormat="1" applyFont="1" applyFill="1" applyBorder="1"/>
    <xf numFmtId="176" fontId="0" fillId="0" borderId="3" xfId="0" applyNumberForma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176" fontId="0" fillId="0" borderId="3" xfId="1" applyFont="1" applyBorder="1" applyAlignment="1">
      <alignment horizontal="center" vertical="center" wrapText="1"/>
    </xf>
    <xf numFmtId="176" fontId="0" fillId="0" borderId="3" xfId="1" applyFont="1" applyBorder="1" applyAlignment="1">
      <alignment horizontal="left" vertical="center" wrapText="1"/>
    </xf>
    <xf numFmtId="176" fontId="0" fillId="0" borderId="4" xfId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10" fontId="0" fillId="0" borderId="0" xfId="3" applyNumberFormat="1" applyFont="1" applyAlignment="1">
      <alignment horizontal="center"/>
    </xf>
    <xf numFmtId="10" fontId="1" fillId="2" borderId="6" xfId="3" applyNumberFormat="1" applyFont="1" applyFill="1" applyBorder="1" applyAlignment="1">
      <alignment horizontal="center" vertical="center"/>
    </xf>
    <xf numFmtId="10" fontId="1" fillId="2" borderId="8" xfId="3" applyNumberFormat="1" applyFont="1" applyFill="1" applyBorder="1" applyAlignment="1">
      <alignment horizontal="center" vertical="center"/>
    </xf>
    <xf numFmtId="10" fontId="1" fillId="2" borderId="3" xfId="3" applyNumberFormat="1" applyFont="1" applyFill="1" applyBorder="1" applyAlignment="1">
      <alignment horizontal="center"/>
    </xf>
    <xf numFmtId="10" fontId="1" fillId="3" borderId="3" xfId="3" applyNumberFormat="1" applyFont="1" applyFill="1" applyBorder="1" applyAlignment="1">
      <alignment horizontal="center"/>
    </xf>
    <xf numFmtId="10" fontId="0" fillId="0" borderId="3" xfId="3" applyNumberFormat="1" applyFont="1" applyBorder="1" applyAlignment="1">
      <alignment horizontal="center" vertical="center" wrapText="1"/>
    </xf>
    <xf numFmtId="10" fontId="0" fillId="0" borderId="3" xfId="3" applyNumberFormat="1" applyFont="1" applyBorder="1" applyAlignment="1">
      <alignment horizontal="center"/>
    </xf>
    <xf numFmtId="10" fontId="0" fillId="3" borderId="3" xfId="3" applyNumberFormat="1" applyFont="1" applyFill="1" applyBorder="1" applyAlignment="1">
      <alignment horizontal="center"/>
    </xf>
    <xf numFmtId="10" fontId="0" fillId="0" borderId="4" xfId="3" applyNumberFormat="1" applyFont="1" applyBorder="1" applyAlignment="1">
      <alignment horizontal="center"/>
    </xf>
    <xf numFmtId="0" fontId="0" fillId="0" borderId="3" xfId="0" applyBorder="1" applyAlignment="1" quotePrefix="1">
      <alignment horizontal="center" vertical="center" wrapText="1"/>
    </xf>
    <xf numFmtId="0" fontId="0" fillId="0" borderId="3" xfId="0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78"/>
  <sheetViews>
    <sheetView zoomScale="55" zoomScaleNormal="55" workbookViewId="0">
      <pane xSplit="1" ySplit="14" topLeftCell="B22" activePane="bottomRight" state="frozen"/>
      <selection/>
      <selection pane="topRight"/>
      <selection pane="bottomLeft"/>
      <selection pane="bottomRight" activeCell="D63" sqref="D63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70.7079646017699" style="4" customWidth="1"/>
    <col min="5" max="5" width="9.14159292035398" style="3"/>
    <col min="6" max="6" width="1.70796460176991" style="3" customWidth="1"/>
    <col min="7" max="8" width="7.70796460176991" style="69" hidden="1" customWidth="1" outlineLevel="1"/>
    <col min="9" max="13" width="7.70796460176991" style="5" hidden="1" customWidth="1" outlineLevel="1"/>
    <col min="14" max="14" width="8.85840707964602" style="4" hidden="1" customWidth="1" outlineLevel="1"/>
    <col min="15" max="15" width="16.858407079646" customWidth="1" collapsed="1"/>
  </cols>
  <sheetData>
    <row r="1" spans="1:1">
      <c r="A1" s="1" t="s">
        <v>0</v>
      </c>
    </row>
    <row r="2" spans="1:1">
      <c r="A2" s="1" t="s">
        <v>1</v>
      </c>
    </row>
    <row r="5" spans="1:3">
      <c r="A5" s="1" t="s">
        <v>2</v>
      </c>
      <c r="B5" s="2" t="s">
        <v>3</v>
      </c>
      <c r="C5" s="1"/>
    </row>
    <row r="6" spans="1:3">
      <c r="A6" s="1" t="s">
        <v>4</v>
      </c>
      <c r="B6" s="2" t="s">
        <v>3</v>
      </c>
      <c r="C6" t="s">
        <v>5</v>
      </c>
    </row>
    <row r="7" spans="1:3">
      <c r="A7" s="1" t="s">
        <v>6</v>
      </c>
      <c r="B7" s="2" t="s">
        <v>3</v>
      </c>
      <c r="C7" t="s">
        <v>7</v>
      </c>
    </row>
    <row r="8" spans="1:3">
      <c r="A8" s="1" t="s">
        <v>8</v>
      </c>
      <c r="B8" s="2" t="s">
        <v>3</v>
      </c>
      <c r="C8" t="s">
        <v>9</v>
      </c>
    </row>
    <row r="9" spans="1:3">
      <c r="A9" s="1" t="s">
        <v>10</v>
      </c>
      <c r="B9" s="2" t="s">
        <v>3</v>
      </c>
      <c r="C9" t="s">
        <v>11</v>
      </c>
    </row>
    <row r="10" spans="1:3">
      <c r="A10" s="1" t="s">
        <v>12</v>
      </c>
      <c r="B10" s="2" t="s">
        <v>3</v>
      </c>
      <c r="C10" s="1" t="s">
        <v>13</v>
      </c>
    </row>
    <row r="11" spans="1:3">
      <c r="A11" s="1" t="s">
        <v>14</v>
      </c>
      <c r="B11" s="2" t="s">
        <v>3</v>
      </c>
      <c r="C11" s="7">
        <f>N16</f>
        <v>86.7</v>
      </c>
    </row>
    <row r="13" s="1" customFormat="1" spans="1:15">
      <c r="A13" s="8" t="s">
        <v>15</v>
      </c>
      <c r="B13" s="9" t="s">
        <v>16</v>
      </c>
      <c r="C13" s="9" t="s">
        <v>17</v>
      </c>
      <c r="D13" s="52" t="s">
        <v>18</v>
      </c>
      <c r="E13" s="10" t="s">
        <v>19</v>
      </c>
      <c r="F13" s="10"/>
      <c r="G13" s="70" t="s">
        <v>20</v>
      </c>
      <c r="H13" s="71"/>
      <c r="I13" s="9" t="s">
        <v>21</v>
      </c>
      <c r="J13" s="9"/>
      <c r="K13" s="9"/>
      <c r="L13" s="9"/>
      <c r="M13" s="9"/>
      <c r="N13" s="26" t="s">
        <v>22</v>
      </c>
      <c r="O13" s="38" t="s">
        <v>23</v>
      </c>
    </row>
    <row r="14" s="1" customFormat="1" spans="1:15">
      <c r="A14" s="8"/>
      <c r="B14" s="9"/>
      <c r="C14" s="11"/>
      <c r="D14" s="53"/>
      <c r="E14" s="12"/>
      <c r="F14" s="12"/>
      <c r="G14" s="10" t="s">
        <v>24</v>
      </c>
      <c r="H14" s="10" t="s">
        <v>25</v>
      </c>
      <c r="I14" s="9" t="s">
        <v>26</v>
      </c>
      <c r="J14" s="9" t="s">
        <v>27</v>
      </c>
      <c r="K14" s="9" t="s">
        <v>28</v>
      </c>
      <c r="L14" s="9" t="s">
        <v>29</v>
      </c>
      <c r="M14" s="9" t="s">
        <v>30</v>
      </c>
      <c r="N14" s="26"/>
      <c r="O14" s="38"/>
    </row>
    <row r="15" s="1" customFormat="1" spans="1:15">
      <c r="A15" s="14">
        <v>1</v>
      </c>
      <c r="B15" s="13">
        <f>A15+1</f>
        <v>2</v>
      </c>
      <c r="C15" s="13">
        <f t="shared" ref="C15:E15" si="0">B15+1</f>
        <v>3</v>
      </c>
      <c r="D15" s="13">
        <f t="shared" si="0"/>
        <v>4</v>
      </c>
      <c r="E15" s="13">
        <f t="shared" si="0"/>
        <v>5</v>
      </c>
      <c r="F15" s="27"/>
      <c r="G15" s="27"/>
      <c r="H15" s="27"/>
      <c r="I15" s="29">
        <v>0.2</v>
      </c>
      <c r="J15" s="29">
        <v>0.4</v>
      </c>
      <c r="K15" s="29">
        <v>0.6</v>
      </c>
      <c r="L15" s="29">
        <v>0.8</v>
      </c>
      <c r="M15" s="29">
        <v>1</v>
      </c>
      <c r="N15" s="28"/>
      <c r="O15" s="39"/>
    </row>
    <row r="16" s="1" customFormat="1" spans="2:15">
      <c r="B16" s="54"/>
      <c r="C16" s="41" t="s">
        <v>31</v>
      </c>
      <c r="D16" s="55"/>
      <c r="E16" s="62">
        <f>E17+E21+E27+E43+E60+E65+E69</f>
        <v>1</v>
      </c>
      <c r="F16" s="62"/>
      <c r="G16" s="72"/>
      <c r="H16" s="72"/>
      <c r="I16" s="15"/>
      <c r="J16" s="15"/>
      <c r="K16" s="15"/>
      <c r="L16" s="15"/>
      <c r="M16" s="15"/>
      <c r="N16" s="40">
        <f>N17+N21+N27+N43+N60+N65+N69</f>
        <v>86.7</v>
      </c>
      <c r="O16" s="41"/>
    </row>
    <row r="17" spans="2:15">
      <c r="B17" s="17" t="s">
        <v>32</v>
      </c>
      <c r="C17" s="18" t="s">
        <v>33</v>
      </c>
      <c r="D17" s="56"/>
      <c r="E17" s="19">
        <f>SUM(E18:E19)</f>
        <v>0.1</v>
      </c>
      <c r="F17" s="19"/>
      <c r="G17" s="73"/>
      <c r="H17" s="73"/>
      <c r="I17" s="32"/>
      <c r="J17" s="32"/>
      <c r="K17" s="32"/>
      <c r="L17" s="32"/>
      <c r="M17" s="32"/>
      <c r="N17" s="31">
        <f>SUM(N18:N20)</f>
        <v>10</v>
      </c>
      <c r="O17" s="42"/>
    </row>
    <row r="18" s="51" customFormat="1" ht="30" customHeight="1" spans="1:15">
      <c r="A18" s="20" t="s">
        <v>34</v>
      </c>
      <c r="B18" s="57">
        <v>1</v>
      </c>
      <c r="C18" s="22" t="s">
        <v>35</v>
      </c>
      <c r="D18" s="66" t="s">
        <v>36</v>
      </c>
      <c r="E18" s="23">
        <v>0.06</v>
      </c>
      <c r="F18" s="23"/>
      <c r="G18" s="74" t="s">
        <v>37</v>
      </c>
      <c r="H18" s="74"/>
      <c r="I18" s="57"/>
      <c r="J18" s="57"/>
      <c r="K18" s="57"/>
      <c r="L18" s="57"/>
      <c r="M18" s="57"/>
      <c r="N18" s="65">
        <f>IF(G18="V",E18*100,0)</f>
        <v>6</v>
      </c>
      <c r="O18" s="22"/>
    </row>
    <row r="19" s="51" customFormat="1" ht="30" customHeight="1" spans="1:15">
      <c r="A19" s="20" t="s">
        <v>38</v>
      </c>
      <c r="B19" s="57">
        <f>B18+1</f>
        <v>2</v>
      </c>
      <c r="C19" s="22" t="s">
        <v>39</v>
      </c>
      <c r="D19" s="66" t="s">
        <v>40</v>
      </c>
      <c r="E19" s="23">
        <v>0.04</v>
      </c>
      <c r="F19" s="23"/>
      <c r="G19" s="74" t="s">
        <v>37</v>
      </c>
      <c r="H19" s="74"/>
      <c r="I19" s="57"/>
      <c r="J19" s="57"/>
      <c r="K19" s="57"/>
      <c r="L19" s="57"/>
      <c r="M19" s="57"/>
      <c r="N19" s="65">
        <f>IF(G19="V",E19*100,0)</f>
        <v>4</v>
      </c>
      <c r="O19" s="22"/>
    </row>
    <row r="20" spans="1:15">
      <c r="A20" s="2"/>
      <c r="B20" s="21"/>
      <c r="C20" s="24"/>
      <c r="D20" s="58"/>
      <c r="E20" s="25"/>
      <c r="F20" s="25"/>
      <c r="G20" s="75"/>
      <c r="H20" s="75"/>
      <c r="I20" s="34"/>
      <c r="J20" s="34"/>
      <c r="K20" s="34"/>
      <c r="L20" s="34"/>
      <c r="M20" s="34"/>
      <c r="N20" s="33"/>
      <c r="O20" s="24"/>
    </row>
    <row r="21" spans="1:15">
      <c r="A21" s="2"/>
      <c r="B21" s="17" t="s">
        <v>29</v>
      </c>
      <c r="C21" s="18" t="s">
        <v>41</v>
      </c>
      <c r="D21" s="56"/>
      <c r="E21" s="19">
        <f>SUM(E22:E25)</f>
        <v>0.05</v>
      </c>
      <c r="F21" s="19"/>
      <c r="G21" s="73"/>
      <c r="H21" s="73"/>
      <c r="I21" s="32"/>
      <c r="J21" s="32"/>
      <c r="K21" s="32"/>
      <c r="L21" s="32"/>
      <c r="M21" s="32"/>
      <c r="N21" s="31">
        <f>SUM(N22:N25)</f>
        <v>5</v>
      </c>
      <c r="O21" s="42"/>
    </row>
    <row r="22" s="51" customFormat="1" ht="30" customHeight="1" spans="1:15">
      <c r="A22" s="20" t="s">
        <v>42</v>
      </c>
      <c r="B22" s="57">
        <v>1</v>
      </c>
      <c r="C22" s="22" t="s">
        <v>43</v>
      </c>
      <c r="D22" s="66" t="s">
        <v>44</v>
      </c>
      <c r="E22" s="23">
        <v>0.01</v>
      </c>
      <c r="F22" s="23"/>
      <c r="G22" s="74" t="s">
        <v>37</v>
      </c>
      <c r="H22" s="74"/>
      <c r="I22" s="57"/>
      <c r="J22" s="57"/>
      <c r="K22" s="57"/>
      <c r="L22" s="57"/>
      <c r="M22" s="57"/>
      <c r="N22" s="65">
        <f t="shared" ref="N22:N25" si="1">IF(G22="V",E22*100,0)</f>
        <v>1</v>
      </c>
      <c r="O22" s="22"/>
    </row>
    <row r="23" s="51" customFormat="1" ht="30" customHeight="1" spans="1:15">
      <c r="A23" s="20" t="s">
        <v>45</v>
      </c>
      <c r="B23" s="57">
        <f>B22+1</f>
        <v>2</v>
      </c>
      <c r="C23" s="22" t="s">
        <v>46</v>
      </c>
      <c r="D23" s="66" t="s">
        <v>47</v>
      </c>
      <c r="E23" s="23">
        <v>0.02</v>
      </c>
      <c r="F23" s="23"/>
      <c r="G23" s="74" t="s">
        <v>37</v>
      </c>
      <c r="H23" s="74"/>
      <c r="I23" s="57"/>
      <c r="J23" s="57"/>
      <c r="K23" s="57"/>
      <c r="L23" s="57"/>
      <c r="M23" s="57"/>
      <c r="N23" s="65">
        <f t="shared" si="1"/>
        <v>2</v>
      </c>
      <c r="O23" s="22"/>
    </row>
    <row r="24" s="51" customFormat="1" ht="30" customHeight="1" spans="1:15">
      <c r="A24" s="20" t="s">
        <v>48</v>
      </c>
      <c r="B24" s="57">
        <f t="shared" ref="B24:B25" si="2">B23+1</f>
        <v>3</v>
      </c>
      <c r="C24" s="22" t="s">
        <v>49</v>
      </c>
      <c r="D24" s="66" t="s">
        <v>50</v>
      </c>
      <c r="E24" s="23">
        <v>0.01</v>
      </c>
      <c r="F24" s="23"/>
      <c r="G24" s="74" t="s">
        <v>37</v>
      </c>
      <c r="H24" s="74"/>
      <c r="I24" s="57"/>
      <c r="J24" s="57"/>
      <c r="K24" s="57"/>
      <c r="L24" s="57"/>
      <c r="M24" s="57"/>
      <c r="N24" s="65">
        <f t="shared" si="1"/>
        <v>1</v>
      </c>
      <c r="O24" s="22"/>
    </row>
    <row r="25" s="51" customFormat="1" ht="30" customHeight="1" spans="1:15">
      <c r="A25" s="20" t="s">
        <v>51</v>
      </c>
      <c r="B25" s="57">
        <f t="shared" si="2"/>
        <v>4</v>
      </c>
      <c r="C25" s="22" t="s">
        <v>52</v>
      </c>
      <c r="D25" s="66" t="s">
        <v>53</v>
      </c>
      <c r="E25" s="23">
        <v>0.01</v>
      </c>
      <c r="F25" s="23"/>
      <c r="G25" s="74" t="s">
        <v>37</v>
      </c>
      <c r="H25" s="74"/>
      <c r="I25" s="57"/>
      <c r="J25" s="57"/>
      <c r="K25" s="57"/>
      <c r="L25" s="57"/>
      <c r="M25" s="57"/>
      <c r="N25" s="65">
        <f t="shared" si="1"/>
        <v>1</v>
      </c>
      <c r="O25" s="22"/>
    </row>
    <row r="26" spans="1:15">
      <c r="A26" s="2"/>
      <c r="B26" s="21"/>
      <c r="C26" s="24"/>
      <c r="D26" s="58"/>
      <c r="E26" s="25"/>
      <c r="F26" s="25"/>
      <c r="G26" s="75"/>
      <c r="H26" s="75"/>
      <c r="I26" s="34"/>
      <c r="J26" s="34"/>
      <c r="K26" s="34"/>
      <c r="L26" s="34"/>
      <c r="M26" s="34"/>
      <c r="N26" s="33"/>
      <c r="O26" s="24"/>
    </row>
    <row r="27" spans="1:15">
      <c r="A27" s="2"/>
      <c r="B27" s="17" t="s">
        <v>54</v>
      </c>
      <c r="C27" s="18" t="s">
        <v>55</v>
      </c>
      <c r="D27" s="59"/>
      <c r="E27" s="19">
        <f>E28</f>
        <v>0.35</v>
      </c>
      <c r="F27" s="35"/>
      <c r="G27" s="76"/>
      <c r="H27" s="76"/>
      <c r="I27" s="32"/>
      <c r="J27" s="32"/>
      <c r="K27" s="32"/>
      <c r="L27" s="32"/>
      <c r="M27" s="32"/>
      <c r="N27" s="31">
        <f>N28</f>
        <v>28.5</v>
      </c>
      <c r="O27" s="42"/>
    </row>
    <row r="28" spans="1:15">
      <c r="A28" s="20" t="s">
        <v>56</v>
      </c>
      <c r="B28" s="21">
        <v>1</v>
      </c>
      <c r="C28" s="24" t="s">
        <v>57</v>
      </c>
      <c r="D28" s="58"/>
      <c r="E28" s="25">
        <f>SUM(E29:E32)</f>
        <v>0.35</v>
      </c>
      <c r="F28" s="25"/>
      <c r="G28" s="75"/>
      <c r="H28" s="75"/>
      <c r="I28" s="34"/>
      <c r="J28" s="34"/>
      <c r="K28" s="34"/>
      <c r="L28" s="34"/>
      <c r="M28" s="34"/>
      <c r="N28" s="33">
        <f>SUM(N29:N33)</f>
        <v>28.5</v>
      </c>
      <c r="O28" s="24"/>
    </row>
    <row r="29" s="51" customFormat="1" ht="30" customHeight="1" spans="1:15">
      <c r="A29" s="20" t="s">
        <v>58</v>
      </c>
      <c r="B29" s="78" t="s">
        <v>59</v>
      </c>
      <c r="C29" s="22" t="s">
        <v>60</v>
      </c>
      <c r="D29" s="66" t="s">
        <v>61</v>
      </c>
      <c r="E29" s="23">
        <v>0.15</v>
      </c>
      <c r="F29" s="23"/>
      <c r="G29" s="74"/>
      <c r="H29" s="74"/>
      <c r="I29" s="57"/>
      <c r="J29" s="57"/>
      <c r="K29" s="57"/>
      <c r="L29" s="57" t="s">
        <v>37</v>
      </c>
      <c r="M29" s="57"/>
      <c r="N29" s="65">
        <f>IF(I29="V",$E29*I$15,IF(J29="V",$E29*J$15,IF(K29="V",$E29*K$15,IF(L29="V",$E29*L$15,IF(M29="V",$E29*M$15,0)))))*100</f>
        <v>12</v>
      </c>
      <c r="O29" s="22"/>
    </row>
    <row r="30" s="51" customFormat="1" ht="30" customHeight="1" spans="1:15">
      <c r="A30" s="20" t="s">
        <v>62</v>
      </c>
      <c r="B30" s="78" t="s">
        <v>59</v>
      </c>
      <c r="C30" s="22" t="s">
        <v>63</v>
      </c>
      <c r="D30" s="66" t="s">
        <v>64</v>
      </c>
      <c r="E30" s="23">
        <v>0.1</v>
      </c>
      <c r="F30" s="23"/>
      <c r="G30" s="74"/>
      <c r="H30" s="74"/>
      <c r="I30" s="57"/>
      <c r="J30" s="57"/>
      <c r="K30" s="57"/>
      <c r="L30" s="57"/>
      <c r="M30" s="57" t="s">
        <v>37</v>
      </c>
      <c r="N30" s="65">
        <f t="shared" ref="N30:N32" si="3">IF(I30="V",$E30*I$15,IF(J30="V",$E30*J$15,IF(K30="V",$E30*K$15,IF(L30="V",$E30*L$15,IF(M30="V",$E30*M$15,0)))))*100</f>
        <v>10</v>
      </c>
      <c r="O30" s="22"/>
    </row>
    <row r="31" s="51" customFormat="1" ht="30" customHeight="1" spans="1:15">
      <c r="A31" s="20" t="s">
        <v>65</v>
      </c>
      <c r="B31" s="78" t="s">
        <v>59</v>
      </c>
      <c r="C31" s="22" t="s">
        <v>66</v>
      </c>
      <c r="D31" s="66" t="s">
        <v>67</v>
      </c>
      <c r="E31" s="23">
        <v>0.025</v>
      </c>
      <c r="F31" s="23"/>
      <c r="G31" s="74"/>
      <c r="H31" s="74"/>
      <c r="I31" s="57"/>
      <c r="J31" s="57"/>
      <c r="K31" s="57"/>
      <c r="L31" s="57" t="s">
        <v>37</v>
      </c>
      <c r="M31" s="57"/>
      <c r="N31" s="65">
        <f t="shared" si="3"/>
        <v>2</v>
      </c>
      <c r="O31" s="22"/>
    </row>
    <row r="32" s="51" customFormat="1" ht="30" customHeight="1" spans="1:15">
      <c r="A32" s="20" t="s">
        <v>68</v>
      </c>
      <c r="B32" s="78" t="s">
        <v>59</v>
      </c>
      <c r="C32" s="22" t="s">
        <v>69</v>
      </c>
      <c r="D32" s="66" t="s">
        <v>70</v>
      </c>
      <c r="E32" s="23">
        <v>0.075</v>
      </c>
      <c r="F32" s="23"/>
      <c r="G32" s="74"/>
      <c r="H32" s="74"/>
      <c r="I32" s="57"/>
      <c r="J32" s="57"/>
      <c r="K32" s="57" t="s">
        <v>37</v>
      </c>
      <c r="L32" s="57"/>
      <c r="M32" s="57"/>
      <c r="N32" s="65">
        <f t="shared" si="3"/>
        <v>4.5</v>
      </c>
      <c r="O32" s="22"/>
    </row>
    <row r="33" spans="1:15">
      <c r="A33" s="2"/>
      <c r="B33" s="21"/>
      <c r="C33" s="24"/>
      <c r="D33" s="58"/>
      <c r="E33" s="25"/>
      <c r="F33" s="25"/>
      <c r="G33" s="75"/>
      <c r="H33" s="75"/>
      <c r="I33" s="34"/>
      <c r="J33" s="34"/>
      <c r="K33" s="34"/>
      <c r="L33" s="34"/>
      <c r="M33" s="34"/>
      <c r="N33" s="33"/>
      <c r="O33" s="24"/>
    </row>
    <row r="34" hidden="1" outlineLevel="1" spans="1:15">
      <c r="A34" s="2"/>
      <c r="B34" s="21">
        <f>B28+1</f>
        <v>2</v>
      </c>
      <c r="C34" s="24" t="s">
        <v>71</v>
      </c>
      <c r="D34" s="58"/>
      <c r="E34" s="25">
        <f>SUM(E35:E37)</f>
        <v>0.35</v>
      </c>
      <c r="F34" s="25"/>
      <c r="G34" s="75"/>
      <c r="H34" s="75"/>
      <c r="I34" s="34"/>
      <c r="J34" s="34"/>
      <c r="K34" s="34"/>
      <c r="L34" s="34"/>
      <c r="M34" s="34"/>
      <c r="N34" s="33"/>
      <c r="O34" s="24"/>
    </row>
    <row r="35" hidden="1" outlineLevel="1" spans="1:15">
      <c r="A35" s="2"/>
      <c r="B35" s="79" t="s">
        <v>59</v>
      </c>
      <c r="C35" s="24" t="s">
        <v>72</v>
      </c>
      <c r="D35" s="58"/>
      <c r="E35" s="25">
        <v>0.15</v>
      </c>
      <c r="F35" s="25"/>
      <c r="G35" s="75"/>
      <c r="H35" s="75"/>
      <c r="I35" s="34"/>
      <c r="J35" s="34"/>
      <c r="K35" s="34"/>
      <c r="L35" s="34"/>
      <c r="M35" s="34"/>
      <c r="N35" s="33"/>
      <c r="O35" s="24"/>
    </row>
    <row r="36" hidden="1" outlineLevel="1" spans="1:15">
      <c r="A36" s="2"/>
      <c r="B36" s="79" t="s">
        <v>59</v>
      </c>
      <c r="C36" s="24" t="s">
        <v>73</v>
      </c>
      <c r="D36" s="58"/>
      <c r="E36" s="25">
        <v>0.2</v>
      </c>
      <c r="F36" s="25"/>
      <c r="G36" s="75"/>
      <c r="H36" s="75"/>
      <c r="I36" s="34"/>
      <c r="J36" s="34"/>
      <c r="K36" s="34"/>
      <c r="L36" s="34"/>
      <c r="M36" s="34"/>
      <c r="N36" s="33"/>
      <c r="O36" s="24"/>
    </row>
    <row r="37" hidden="1" outlineLevel="1" spans="1:15">
      <c r="A37" s="2"/>
      <c r="B37" s="21"/>
      <c r="C37" s="24"/>
      <c r="D37" s="58"/>
      <c r="E37" s="25"/>
      <c r="F37" s="25"/>
      <c r="G37" s="75"/>
      <c r="H37" s="75"/>
      <c r="I37" s="34"/>
      <c r="J37" s="34"/>
      <c r="K37" s="34"/>
      <c r="L37" s="34"/>
      <c r="M37" s="34"/>
      <c r="N37" s="33"/>
      <c r="O37" s="24"/>
    </row>
    <row r="38" hidden="1" outlineLevel="1" spans="1:15">
      <c r="A38" s="2"/>
      <c r="B38" s="21">
        <v>3</v>
      </c>
      <c r="C38" s="24" t="s">
        <v>74</v>
      </c>
      <c r="D38" s="58"/>
      <c r="E38" s="25"/>
      <c r="F38" s="25"/>
      <c r="G38" s="75"/>
      <c r="H38" s="75"/>
      <c r="I38" s="34"/>
      <c r="J38" s="34"/>
      <c r="K38" s="34"/>
      <c r="L38" s="34"/>
      <c r="M38" s="34"/>
      <c r="N38" s="33"/>
      <c r="O38" s="24"/>
    </row>
    <row r="39" hidden="1" outlineLevel="1" spans="1:15">
      <c r="A39" s="2"/>
      <c r="B39" s="79" t="s">
        <v>59</v>
      </c>
      <c r="C39" s="24" t="s">
        <v>75</v>
      </c>
      <c r="D39" s="58"/>
      <c r="E39" s="25"/>
      <c r="F39" s="25"/>
      <c r="G39" s="75"/>
      <c r="H39" s="75"/>
      <c r="I39" s="34"/>
      <c r="J39" s="34"/>
      <c r="K39" s="34"/>
      <c r="L39" s="34"/>
      <c r="M39" s="34"/>
      <c r="N39" s="33"/>
      <c r="O39" s="24"/>
    </row>
    <row r="40" hidden="1" outlineLevel="1" spans="1:15">
      <c r="A40" s="2"/>
      <c r="B40" s="79" t="s">
        <v>59</v>
      </c>
      <c r="C40" s="24" t="s">
        <v>76</v>
      </c>
      <c r="D40" s="58"/>
      <c r="E40" s="25"/>
      <c r="F40" s="25"/>
      <c r="G40" s="75"/>
      <c r="H40" s="75"/>
      <c r="I40" s="34"/>
      <c r="J40" s="34"/>
      <c r="K40" s="34"/>
      <c r="L40" s="34"/>
      <c r="M40" s="34"/>
      <c r="N40" s="33"/>
      <c r="O40" s="24"/>
    </row>
    <row r="41" hidden="1" outlineLevel="1" spans="1:15">
      <c r="A41" s="2"/>
      <c r="B41" s="79" t="s">
        <v>59</v>
      </c>
      <c r="C41" s="24"/>
      <c r="D41" s="58"/>
      <c r="E41" s="25"/>
      <c r="F41" s="25"/>
      <c r="G41" s="75"/>
      <c r="H41" s="75"/>
      <c r="I41" s="34"/>
      <c r="J41" s="34"/>
      <c r="K41" s="34"/>
      <c r="L41" s="34"/>
      <c r="M41" s="34"/>
      <c r="N41" s="33"/>
      <c r="O41" s="24"/>
    </row>
    <row r="42" hidden="1" outlineLevel="1" spans="1:15">
      <c r="A42" s="2"/>
      <c r="B42" s="21"/>
      <c r="C42" s="24"/>
      <c r="D42" s="58"/>
      <c r="E42" s="25"/>
      <c r="F42" s="25"/>
      <c r="G42" s="75"/>
      <c r="H42" s="75"/>
      <c r="I42" s="34"/>
      <c r="J42" s="34"/>
      <c r="K42" s="34"/>
      <c r="L42" s="34"/>
      <c r="M42" s="34"/>
      <c r="N42" s="33"/>
      <c r="O42" s="24"/>
    </row>
    <row r="43" s="1" customFormat="1" collapsed="1" spans="1:15">
      <c r="A43" s="14"/>
      <c r="B43" s="17" t="s">
        <v>77</v>
      </c>
      <c r="C43" s="18" t="s">
        <v>78</v>
      </c>
      <c r="D43" s="56"/>
      <c r="E43" s="19">
        <f>E44</f>
        <v>0.25</v>
      </c>
      <c r="F43" s="19"/>
      <c r="G43" s="73"/>
      <c r="H43" s="73"/>
      <c r="I43" s="37"/>
      <c r="J43" s="37"/>
      <c r="K43" s="37"/>
      <c r="L43" s="37"/>
      <c r="M43" s="37"/>
      <c r="N43" s="31">
        <f>N44</f>
        <v>22.5</v>
      </c>
      <c r="O43" s="18"/>
    </row>
    <row r="44" spans="1:15">
      <c r="A44" s="2" t="s">
        <v>79</v>
      </c>
      <c r="B44" s="21">
        <v>1</v>
      </c>
      <c r="C44" s="24" t="s">
        <v>80</v>
      </c>
      <c r="D44" s="58"/>
      <c r="E44" s="25">
        <f>SUM(E45:E49)</f>
        <v>0.25</v>
      </c>
      <c r="F44" s="25"/>
      <c r="G44" s="75"/>
      <c r="H44" s="75"/>
      <c r="I44" s="34"/>
      <c r="J44" s="34"/>
      <c r="K44" s="34"/>
      <c r="L44" s="34"/>
      <c r="M44" s="34"/>
      <c r="N44" s="33">
        <f>SUM(N45:N48)</f>
        <v>22.5</v>
      </c>
      <c r="O44" s="24"/>
    </row>
    <row r="45" s="51" customFormat="1" ht="30" customHeight="1" spans="1:15">
      <c r="A45" s="20" t="s">
        <v>81</v>
      </c>
      <c r="B45" s="78" t="s">
        <v>59</v>
      </c>
      <c r="C45" s="22" t="s">
        <v>82</v>
      </c>
      <c r="D45" s="66" t="s">
        <v>83</v>
      </c>
      <c r="E45" s="23">
        <v>0.025</v>
      </c>
      <c r="F45" s="23"/>
      <c r="G45" s="74"/>
      <c r="H45" s="74"/>
      <c r="I45" s="57"/>
      <c r="J45" s="57"/>
      <c r="K45" s="57"/>
      <c r="L45" s="57" t="s">
        <v>37</v>
      </c>
      <c r="M45" s="57"/>
      <c r="N45" s="65">
        <f>IF(I45="V",$E45*I$15,IF(J45="V",$E45*J$15,IF(K45="V",$E45*K$15,IF(L45="V",$E45*L$15,IF(M45="V",$E45*M$15,0)))))*100</f>
        <v>2</v>
      </c>
      <c r="O45" s="22"/>
    </row>
    <row r="46" s="51" customFormat="1" ht="30" customHeight="1" spans="1:15">
      <c r="A46" s="20" t="s">
        <v>84</v>
      </c>
      <c r="B46" s="78" t="s">
        <v>59</v>
      </c>
      <c r="C46" s="22" t="s">
        <v>85</v>
      </c>
      <c r="D46" s="66" t="s">
        <v>86</v>
      </c>
      <c r="E46" s="23">
        <v>0.1</v>
      </c>
      <c r="F46" s="23"/>
      <c r="G46" s="74"/>
      <c r="H46" s="74"/>
      <c r="I46" s="57"/>
      <c r="J46" s="57"/>
      <c r="K46" s="57"/>
      <c r="L46" s="57" t="s">
        <v>37</v>
      </c>
      <c r="M46" s="57"/>
      <c r="N46" s="65">
        <f>IF(I46="V",$E46*I$15,IF(J46="V",$E46*J$15,IF(K46="V",$E46*K$15,IF(L46="V",$E46*L$15,IF(M46="V",$E46*M$15,0)))))*100</f>
        <v>8</v>
      </c>
      <c r="O46" s="22"/>
    </row>
    <row r="47" s="51" customFormat="1" ht="30" customHeight="1" spans="1:15">
      <c r="A47" s="20" t="s">
        <v>87</v>
      </c>
      <c r="B47" s="78" t="s">
        <v>59</v>
      </c>
      <c r="C47" s="22" t="s">
        <v>88</v>
      </c>
      <c r="D47" s="66" t="s">
        <v>89</v>
      </c>
      <c r="E47" s="23">
        <v>0.05</v>
      </c>
      <c r="F47" s="23"/>
      <c r="G47" s="74"/>
      <c r="H47" s="74"/>
      <c r="I47" s="57"/>
      <c r="J47" s="57"/>
      <c r="K47" s="57"/>
      <c r="L47" s="57"/>
      <c r="M47" s="57" t="s">
        <v>37</v>
      </c>
      <c r="N47" s="65">
        <f>IF(I47="V",$E47*I$15,IF(J47="V",$E47*J$15,IF(K47="V",$E47*K$15,IF(L47="V",$E47*L$15,IF(M47="V",$E47*M$15,0)))))*100</f>
        <v>5</v>
      </c>
      <c r="O47" s="22"/>
    </row>
    <row r="48" s="51" customFormat="1" ht="30" customHeight="1" spans="1:15">
      <c r="A48" s="20" t="s">
        <v>90</v>
      </c>
      <c r="B48" s="78" t="s">
        <v>59</v>
      </c>
      <c r="C48" s="22" t="s">
        <v>91</v>
      </c>
      <c r="D48" s="66" t="s">
        <v>92</v>
      </c>
      <c r="E48" s="23">
        <v>0.075</v>
      </c>
      <c r="F48" s="23"/>
      <c r="G48" s="74"/>
      <c r="H48" s="74"/>
      <c r="I48" s="57"/>
      <c r="J48" s="57"/>
      <c r="K48" s="57"/>
      <c r="L48" s="57"/>
      <c r="M48" s="57" t="s">
        <v>37</v>
      </c>
      <c r="N48" s="65">
        <f>IF(I48="V",$E48*I$15,IF(J48="V",$E48*J$15,IF(K48="V",$E48*K$15,IF(L48="V",$E48*L$15,IF(M48="V",$E48*M$15,0)))))*100</f>
        <v>7.5</v>
      </c>
      <c r="O48" s="22"/>
    </row>
    <row r="49" spans="1:15">
      <c r="A49" s="2"/>
      <c r="B49" s="21"/>
      <c r="C49" s="24"/>
      <c r="D49" s="58"/>
      <c r="E49" s="25"/>
      <c r="F49" s="25"/>
      <c r="G49" s="75"/>
      <c r="H49" s="75"/>
      <c r="I49" s="34"/>
      <c r="J49" s="34"/>
      <c r="K49" s="34"/>
      <c r="L49" s="34"/>
      <c r="M49" s="34"/>
      <c r="N49" s="33"/>
      <c r="O49" s="24"/>
    </row>
    <row r="50" hidden="1" outlineLevel="1" spans="1:15">
      <c r="A50" s="2"/>
      <c r="B50" s="21">
        <v>2</v>
      </c>
      <c r="C50" s="24" t="s">
        <v>93</v>
      </c>
      <c r="D50" s="58"/>
      <c r="E50" s="25"/>
      <c r="F50" s="25"/>
      <c r="G50" s="75"/>
      <c r="H50" s="75"/>
      <c r="I50" s="34"/>
      <c r="J50" s="34"/>
      <c r="K50" s="34"/>
      <c r="L50" s="34"/>
      <c r="M50" s="34"/>
      <c r="N50" s="33"/>
      <c r="O50" s="24"/>
    </row>
    <row r="51" hidden="1" outlineLevel="1" spans="1:15">
      <c r="A51" s="2"/>
      <c r="B51" s="79" t="s">
        <v>59</v>
      </c>
      <c r="C51" s="24" t="s">
        <v>82</v>
      </c>
      <c r="D51" s="58"/>
      <c r="E51" s="25"/>
      <c r="F51" s="25"/>
      <c r="G51" s="75"/>
      <c r="H51" s="75"/>
      <c r="I51" s="34"/>
      <c r="J51" s="34"/>
      <c r="K51" s="34"/>
      <c r="L51" s="34"/>
      <c r="M51" s="34"/>
      <c r="N51" s="33"/>
      <c r="O51" s="24"/>
    </row>
    <row r="52" hidden="1" outlineLevel="1" spans="1:15">
      <c r="A52" s="2"/>
      <c r="B52" s="79" t="s">
        <v>59</v>
      </c>
      <c r="C52" s="24" t="s">
        <v>94</v>
      </c>
      <c r="D52" s="58"/>
      <c r="E52" s="25"/>
      <c r="F52" s="25"/>
      <c r="G52" s="75"/>
      <c r="H52" s="75"/>
      <c r="I52" s="34"/>
      <c r="J52" s="34"/>
      <c r="K52" s="34"/>
      <c r="L52" s="34"/>
      <c r="M52" s="34"/>
      <c r="N52" s="33"/>
      <c r="O52" s="24"/>
    </row>
    <row r="53" hidden="1" outlineLevel="1" spans="1:15">
      <c r="A53" s="2"/>
      <c r="B53" s="79" t="s">
        <v>59</v>
      </c>
      <c r="C53" s="24" t="s">
        <v>95</v>
      </c>
      <c r="D53" s="58"/>
      <c r="E53" s="25"/>
      <c r="F53" s="25"/>
      <c r="G53" s="75"/>
      <c r="H53" s="75"/>
      <c r="I53" s="34"/>
      <c r="J53" s="34"/>
      <c r="K53" s="34"/>
      <c r="L53" s="34"/>
      <c r="M53" s="34"/>
      <c r="N53" s="33"/>
      <c r="O53" s="24"/>
    </row>
    <row r="54" hidden="1" outlineLevel="1" spans="1:15">
      <c r="A54" s="2"/>
      <c r="B54" s="21"/>
      <c r="C54" s="24"/>
      <c r="D54" s="58"/>
      <c r="E54" s="25"/>
      <c r="F54" s="25"/>
      <c r="G54" s="75"/>
      <c r="H54" s="75"/>
      <c r="I54" s="34"/>
      <c r="J54" s="34"/>
      <c r="K54" s="34"/>
      <c r="L54" s="34"/>
      <c r="M54" s="34"/>
      <c r="N54" s="33"/>
      <c r="O54" s="24"/>
    </row>
    <row r="55" hidden="1" outlineLevel="1" spans="1:15">
      <c r="A55" s="2"/>
      <c r="B55" s="21">
        <v>3</v>
      </c>
      <c r="C55" s="24" t="s">
        <v>96</v>
      </c>
      <c r="D55" s="58"/>
      <c r="E55" s="25"/>
      <c r="F55" s="25"/>
      <c r="G55" s="75"/>
      <c r="H55" s="75"/>
      <c r="I55" s="34"/>
      <c r="J55" s="34"/>
      <c r="K55" s="34"/>
      <c r="L55" s="34"/>
      <c r="M55" s="34"/>
      <c r="N55" s="33"/>
      <c r="O55" s="24"/>
    </row>
    <row r="56" hidden="1" outlineLevel="1" spans="1:15">
      <c r="A56" s="2"/>
      <c r="B56" s="79" t="s">
        <v>59</v>
      </c>
      <c r="C56" s="24" t="s">
        <v>82</v>
      </c>
      <c r="D56" s="58"/>
      <c r="E56" s="25"/>
      <c r="F56" s="25"/>
      <c r="G56" s="75"/>
      <c r="H56" s="75"/>
      <c r="I56" s="34"/>
      <c r="J56" s="34"/>
      <c r="K56" s="34"/>
      <c r="L56" s="34"/>
      <c r="M56" s="34"/>
      <c r="N56" s="33"/>
      <c r="O56" s="24"/>
    </row>
    <row r="57" hidden="1" outlineLevel="1" spans="1:15">
      <c r="A57" s="2"/>
      <c r="B57" s="79" t="s">
        <v>59</v>
      </c>
      <c r="C57" s="24" t="s">
        <v>95</v>
      </c>
      <c r="D57" s="58"/>
      <c r="E57" s="25"/>
      <c r="F57" s="25"/>
      <c r="G57" s="75"/>
      <c r="H57" s="75"/>
      <c r="I57" s="34"/>
      <c r="J57" s="34"/>
      <c r="K57" s="34"/>
      <c r="L57" s="34"/>
      <c r="M57" s="34"/>
      <c r="N57" s="33"/>
      <c r="O57" s="24"/>
    </row>
    <row r="58" hidden="1" outlineLevel="1" spans="1:15">
      <c r="A58" s="2"/>
      <c r="B58" s="79" t="s">
        <v>59</v>
      </c>
      <c r="C58" s="24" t="s">
        <v>97</v>
      </c>
      <c r="D58" s="58"/>
      <c r="E58" s="25"/>
      <c r="F58" s="25"/>
      <c r="G58" s="75"/>
      <c r="H58" s="75"/>
      <c r="I58" s="34"/>
      <c r="J58" s="34"/>
      <c r="K58" s="34"/>
      <c r="L58" s="34"/>
      <c r="M58" s="34"/>
      <c r="N58" s="33"/>
      <c r="O58" s="24"/>
    </row>
    <row r="59" hidden="1" outlineLevel="1" spans="1:15">
      <c r="A59" s="2"/>
      <c r="B59" s="21"/>
      <c r="C59" s="24"/>
      <c r="D59" s="58"/>
      <c r="E59" s="25"/>
      <c r="F59" s="25"/>
      <c r="G59" s="75"/>
      <c r="H59" s="75"/>
      <c r="I59" s="34"/>
      <c r="J59" s="34"/>
      <c r="K59" s="34"/>
      <c r="L59" s="34"/>
      <c r="M59" s="34"/>
      <c r="N59" s="33"/>
      <c r="O59" s="24"/>
    </row>
    <row r="60" s="1" customFormat="1" collapsed="1" spans="1:15">
      <c r="A60" s="14"/>
      <c r="B60" s="17" t="s">
        <v>98</v>
      </c>
      <c r="C60" s="18" t="s">
        <v>99</v>
      </c>
      <c r="D60" s="56"/>
      <c r="E60" s="19">
        <f>SUM(E61:E64)</f>
        <v>0.15</v>
      </c>
      <c r="F60" s="19"/>
      <c r="G60" s="73"/>
      <c r="H60" s="73"/>
      <c r="I60" s="37"/>
      <c r="J60" s="37"/>
      <c r="K60" s="37"/>
      <c r="L60" s="37"/>
      <c r="M60" s="37"/>
      <c r="N60" s="31">
        <f>SUM(N61:N64)</f>
        <v>13.5</v>
      </c>
      <c r="O60" s="18"/>
    </row>
    <row r="61" s="51" customFormat="1" ht="30" customHeight="1" spans="1:15">
      <c r="A61" s="20" t="s">
        <v>100</v>
      </c>
      <c r="B61" s="78" t="s">
        <v>59</v>
      </c>
      <c r="C61" s="22" t="s">
        <v>101</v>
      </c>
      <c r="D61" s="66" t="s">
        <v>102</v>
      </c>
      <c r="E61" s="23">
        <v>0.075</v>
      </c>
      <c r="F61" s="23"/>
      <c r="G61" s="74"/>
      <c r="H61" s="74"/>
      <c r="I61" s="57"/>
      <c r="J61" s="57"/>
      <c r="K61" s="57"/>
      <c r="L61" s="57" t="s">
        <v>37</v>
      </c>
      <c r="M61" s="57"/>
      <c r="N61" s="65">
        <f t="shared" ref="N61:N63" si="4">IF(I61="V",$E61*I$15,IF(J61="V",$E61*J$15,IF(K61="V",$E61*K$15,IF(L61="V",$E61*L$15,IF(M61="V",$E61*M$15,0)))))*100</f>
        <v>6</v>
      </c>
      <c r="O61" s="22"/>
    </row>
    <row r="62" s="51" customFormat="1" ht="30" customHeight="1" spans="1:15">
      <c r="A62" s="20" t="s">
        <v>103</v>
      </c>
      <c r="B62" s="78" t="s">
        <v>59</v>
      </c>
      <c r="C62" s="22" t="s">
        <v>104</v>
      </c>
      <c r="D62" s="66" t="s">
        <v>105</v>
      </c>
      <c r="E62" s="23">
        <v>0.05</v>
      </c>
      <c r="F62" s="23"/>
      <c r="G62" s="74"/>
      <c r="H62" s="74"/>
      <c r="I62" s="57"/>
      <c r="J62" s="57"/>
      <c r="K62" s="57"/>
      <c r="L62" s="57"/>
      <c r="M62" s="57" t="s">
        <v>37</v>
      </c>
      <c r="N62" s="65">
        <f t="shared" si="4"/>
        <v>5</v>
      </c>
      <c r="O62" s="22"/>
    </row>
    <row r="63" s="51" customFormat="1" ht="28.5" spans="1:15">
      <c r="A63" s="20" t="s">
        <v>106</v>
      </c>
      <c r="B63" s="78" t="s">
        <v>59</v>
      </c>
      <c r="C63" s="22" t="s">
        <v>107</v>
      </c>
      <c r="D63" s="66" t="s">
        <v>108</v>
      </c>
      <c r="E63" s="23">
        <v>0.025</v>
      </c>
      <c r="F63" s="23"/>
      <c r="G63" s="74"/>
      <c r="H63" s="74"/>
      <c r="I63" s="57"/>
      <c r="J63" s="57"/>
      <c r="K63" s="57"/>
      <c r="L63" s="57"/>
      <c r="M63" s="57" t="s">
        <v>37</v>
      </c>
      <c r="N63" s="65">
        <f t="shared" si="4"/>
        <v>2.5</v>
      </c>
      <c r="O63" s="22"/>
    </row>
    <row r="64" spans="1:15">
      <c r="A64" s="2"/>
      <c r="B64" s="21"/>
      <c r="C64" s="24"/>
      <c r="D64" s="58"/>
      <c r="E64" s="25"/>
      <c r="F64" s="25"/>
      <c r="G64" s="75"/>
      <c r="H64" s="75"/>
      <c r="I64" s="34"/>
      <c r="J64" s="34"/>
      <c r="K64" s="34"/>
      <c r="L64" s="34"/>
      <c r="M64" s="34"/>
      <c r="N64" s="33"/>
      <c r="O64" s="24"/>
    </row>
    <row r="65" s="1" customFormat="1" spans="1:15">
      <c r="A65" s="14"/>
      <c r="B65" s="17" t="s">
        <v>109</v>
      </c>
      <c r="C65" s="18" t="s">
        <v>110</v>
      </c>
      <c r="D65" s="56"/>
      <c r="E65" s="19">
        <f>SUM(E66:E68)</f>
        <v>0.05</v>
      </c>
      <c r="F65" s="19"/>
      <c r="G65" s="73"/>
      <c r="H65" s="73"/>
      <c r="I65" s="37"/>
      <c r="J65" s="37"/>
      <c r="K65" s="37"/>
      <c r="L65" s="37"/>
      <c r="M65" s="37"/>
      <c r="N65" s="31">
        <f>SUM(N66:N68)</f>
        <v>4.2</v>
      </c>
      <c r="O65" s="18"/>
    </row>
    <row r="66" s="51" customFormat="1" ht="30" customHeight="1" spans="1:15">
      <c r="A66" s="20" t="s">
        <v>111</v>
      </c>
      <c r="B66" s="78" t="s">
        <v>59</v>
      </c>
      <c r="C66" s="22" t="s">
        <v>112</v>
      </c>
      <c r="D66" s="66" t="s">
        <v>113</v>
      </c>
      <c r="E66" s="23">
        <v>0.04</v>
      </c>
      <c r="F66" s="23"/>
      <c r="G66" s="74"/>
      <c r="H66" s="74"/>
      <c r="I66" s="57"/>
      <c r="J66" s="57"/>
      <c r="K66" s="57"/>
      <c r="L66" s="57" t="s">
        <v>37</v>
      </c>
      <c r="M66" s="57"/>
      <c r="N66" s="65">
        <f t="shared" ref="N66:N67" si="5">IF(I66="V",$E66*I$15,IF(J66="V",$E66*J$15,IF(K66="V",$E66*K$15,IF(L66="V",$E66*L$15,IF(M66="V",$E66*M$15,0)))))*100</f>
        <v>3.2</v>
      </c>
      <c r="O66" s="22"/>
    </row>
    <row r="67" s="51" customFormat="1" ht="30" customHeight="1" spans="1:15">
      <c r="A67" s="20" t="s">
        <v>114</v>
      </c>
      <c r="B67" s="78" t="s">
        <v>59</v>
      </c>
      <c r="C67" s="22" t="s">
        <v>115</v>
      </c>
      <c r="D67" s="66" t="s">
        <v>116</v>
      </c>
      <c r="E67" s="23">
        <v>0.01</v>
      </c>
      <c r="F67" s="23"/>
      <c r="G67" s="74"/>
      <c r="H67" s="74"/>
      <c r="I67" s="57"/>
      <c r="J67" s="57"/>
      <c r="K67" s="57"/>
      <c r="L67" s="57"/>
      <c r="M67" s="57" t="s">
        <v>37</v>
      </c>
      <c r="N67" s="65">
        <f t="shared" si="5"/>
        <v>1</v>
      </c>
      <c r="O67" s="22"/>
    </row>
    <row r="68" s="51" customFormat="1" spans="1:15">
      <c r="A68" s="20"/>
      <c r="B68" s="57"/>
      <c r="C68" s="22"/>
      <c r="D68" s="66"/>
      <c r="E68" s="23"/>
      <c r="F68" s="23"/>
      <c r="G68" s="74"/>
      <c r="H68" s="74"/>
      <c r="I68" s="57"/>
      <c r="J68" s="57"/>
      <c r="K68" s="57"/>
      <c r="L68" s="57"/>
      <c r="M68" s="57"/>
      <c r="N68" s="65"/>
      <c r="O68" s="22"/>
    </row>
    <row r="69" s="1" customFormat="1" spans="1:15">
      <c r="A69" s="14"/>
      <c r="B69" s="17" t="s">
        <v>117</v>
      </c>
      <c r="C69" s="18" t="s">
        <v>118</v>
      </c>
      <c r="D69" s="56"/>
      <c r="E69" s="19">
        <f>SUM(E70:E70)</f>
        <v>0.05</v>
      </c>
      <c r="F69" s="19"/>
      <c r="G69" s="73"/>
      <c r="H69" s="73"/>
      <c r="I69" s="37"/>
      <c r="J69" s="37"/>
      <c r="K69" s="37"/>
      <c r="L69" s="37"/>
      <c r="M69" s="37"/>
      <c r="N69" s="31">
        <f>SUM(N70)</f>
        <v>3</v>
      </c>
      <c r="O69" s="18"/>
    </row>
    <row r="70" s="51" customFormat="1" ht="30" customHeight="1" spans="1:15">
      <c r="A70" s="20" t="s">
        <v>119</v>
      </c>
      <c r="B70" s="78" t="s">
        <v>59</v>
      </c>
      <c r="C70" s="22" t="s">
        <v>120</v>
      </c>
      <c r="D70" s="66" t="s">
        <v>121</v>
      </c>
      <c r="E70" s="23">
        <v>0.05</v>
      </c>
      <c r="F70" s="23"/>
      <c r="G70" s="74"/>
      <c r="H70" s="74"/>
      <c r="I70" s="57"/>
      <c r="J70" s="57"/>
      <c r="K70" s="57" t="s">
        <v>37</v>
      </c>
      <c r="L70" s="57"/>
      <c r="M70" s="57"/>
      <c r="N70" s="65">
        <f t="shared" ref="N70" si="6">IF(I70="V",$E70*I$15,IF(J70="V",$E70*J$15,IF(K70="V",$E70*K$15,IF(L70="V",$E70*L$15,IF(M70="V",$E70*M$15,0)))))*100</f>
        <v>3</v>
      </c>
      <c r="O70" s="22"/>
    </row>
    <row r="71" spans="2:15">
      <c r="B71" s="43"/>
      <c r="C71" s="44"/>
      <c r="D71" s="67"/>
      <c r="E71" s="45"/>
      <c r="F71" s="45"/>
      <c r="G71" s="77"/>
      <c r="H71" s="77"/>
      <c r="I71" s="47"/>
      <c r="J71" s="47"/>
      <c r="K71" s="47"/>
      <c r="L71" s="47"/>
      <c r="M71" s="47"/>
      <c r="N71" s="46"/>
      <c r="O71" s="44"/>
    </row>
    <row r="73" spans="9:9">
      <c r="I73" s="48" t="s">
        <v>23</v>
      </c>
    </row>
    <row r="74" spans="9:11">
      <c r="I74" s="5" t="s">
        <v>26</v>
      </c>
      <c r="J74" s="5" t="s">
        <v>3</v>
      </c>
      <c r="K74" s="49" t="s">
        <v>122</v>
      </c>
    </row>
    <row r="75" spans="9:11">
      <c r="I75" s="5" t="s">
        <v>27</v>
      </c>
      <c r="J75" s="5" t="s">
        <v>3</v>
      </c>
      <c r="K75" s="49" t="s">
        <v>123</v>
      </c>
    </row>
    <row r="76" spans="9:11">
      <c r="I76" s="5" t="s">
        <v>28</v>
      </c>
      <c r="J76" s="5" t="s">
        <v>3</v>
      </c>
      <c r="K76" s="49" t="s">
        <v>124</v>
      </c>
    </row>
    <row r="77" spans="9:11">
      <c r="I77" s="5" t="s">
        <v>29</v>
      </c>
      <c r="J77" s="5" t="s">
        <v>3</v>
      </c>
      <c r="K77" s="49" t="s">
        <v>125</v>
      </c>
    </row>
    <row r="78" spans="9:11">
      <c r="I78" s="5" t="s">
        <v>30</v>
      </c>
      <c r="J78" s="5" t="s">
        <v>3</v>
      </c>
      <c r="K78" s="49" t="s">
        <v>126</v>
      </c>
    </row>
  </sheetData>
  <mergeCells count="9">
    <mergeCell ref="G13:H13"/>
    <mergeCell ref="I13:M13"/>
    <mergeCell ref="A13:A14"/>
    <mergeCell ref="B13:B14"/>
    <mergeCell ref="C13:C14"/>
    <mergeCell ref="D13:D14"/>
    <mergeCell ref="E13:E14"/>
    <mergeCell ref="N13:N14"/>
    <mergeCell ref="O13:O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22"/>
  <sheetViews>
    <sheetView workbookViewId="0">
      <pane xSplit="1" ySplit="7" topLeftCell="B8" activePane="bottomRight" state="frozen"/>
      <selection/>
      <selection pane="topRight"/>
      <selection pane="bottomLeft"/>
      <selection pane="bottomRight" activeCell="H22" sqref="H22"/>
    </sheetView>
  </sheetViews>
  <sheetFormatPr defaultColWidth="8.85840707964602" defaultRowHeight="14.25"/>
  <cols>
    <col min="1" max="1" width="4.42477876106195" customWidth="1"/>
    <col min="2" max="2" width="4.28318584070797" style="2" customWidth="1"/>
    <col min="3" max="3" width="20.7079646017699" customWidth="1"/>
    <col min="4" max="4" width="25" style="4" customWidth="1"/>
    <col min="5" max="7" width="7.70796460176991" style="5" customWidth="1"/>
    <col min="8" max="8" width="10.141592920354" style="5" customWidth="1"/>
    <col min="9" max="9" width="9.14159292035398" style="4"/>
    <col min="10" max="10" width="16.858407079646" customWidth="1"/>
    <col min="11" max="11" width="20.4247787610619" customWidth="1"/>
  </cols>
  <sheetData>
    <row r="1" spans="1:1">
      <c r="A1" s="1" t="s">
        <v>0</v>
      </c>
    </row>
    <row r="2" spans="1:1">
      <c r="A2" s="1" t="s">
        <v>1</v>
      </c>
    </row>
    <row r="4" ht="18" spans="2:11">
      <c r="B4" s="68" t="s">
        <v>127</v>
      </c>
      <c r="C4" s="68"/>
      <c r="D4" s="68"/>
      <c r="E4" s="68"/>
      <c r="F4" s="68"/>
      <c r="G4" s="68"/>
      <c r="H4" s="68"/>
      <c r="I4" s="68"/>
      <c r="J4" s="68"/>
      <c r="K4" s="68"/>
    </row>
    <row r="6" s="1" customFormat="1" spans="2:11">
      <c r="B6" s="9" t="s">
        <v>16</v>
      </c>
      <c r="C6" s="9" t="s">
        <v>128</v>
      </c>
      <c r="D6" s="52" t="s">
        <v>129</v>
      </c>
      <c r="E6" s="60" t="s">
        <v>21</v>
      </c>
      <c r="F6" s="61"/>
      <c r="G6" s="61"/>
      <c r="H6" s="64"/>
      <c r="I6" s="26" t="s">
        <v>22</v>
      </c>
      <c r="J6" s="38" t="s">
        <v>23</v>
      </c>
      <c r="K6" s="38" t="s">
        <v>130</v>
      </c>
    </row>
    <row r="7" s="1" customFormat="1" spans="2:11">
      <c r="B7" s="9"/>
      <c r="C7" s="11"/>
      <c r="D7" s="53"/>
      <c r="E7" s="9" t="s">
        <v>12</v>
      </c>
      <c r="F7" s="9" t="s">
        <v>131</v>
      </c>
      <c r="G7" s="9" t="s">
        <v>132</v>
      </c>
      <c r="H7" s="9" t="s">
        <v>133</v>
      </c>
      <c r="I7" s="26"/>
      <c r="J7" s="38"/>
      <c r="K7" s="38"/>
    </row>
    <row r="8" s="1" customFormat="1" spans="1:11">
      <c r="A8" s="14"/>
      <c r="B8" s="13"/>
      <c r="C8" s="13"/>
      <c r="D8" s="13"/>
      <c r="E8" s="29"/>
      <c r="F8" s="29"/>
      <c r="G8" s="29"/>
      <c r="H8" s="29"/>
      <c r="I8" s="28"/>
      <c r="J8" s="39"/>
      <c r="K8" s="39"/>
    </row>
    <row r="9" s="51" customFormat="1" spans="1:11">
      <c r="A9" s="20"/>
      <c r="B9" s="57">
        <v>1</v>
      </c>
      <c r="C9" s="22" t="s">
        <v>134</v>
      </c>
      <c r="D9" s="66" t="s">
        <v>135</v>
      </c>
      <c r="E9" s="63">
        <f>RESUME!G16</f>
        <v>70.8</v>
      </c>
      <c r="F9" s="63">
        <f>RESUME!H16</f>
        <v>66.2</v>
      </c>
      <c r="G9" s="63" t="e">
        <f>RESUME!I16</f>
        <v>#REF!</v>
      </c>
      <c r="H9" s="63" t="e">
        <f>RESUME!J16</f>
        <v>#REF!</v>
      </c>
      <c r="I9" s="65">
        <f t="shared" ref="I9:I13" si="0">IFERROR(AVERAGE(E9:H9),0)</f>
        <v>0</v>
      </c>
      <c r="J9" s="22" t="str">
        <f>IF(I9&gt;=70,"LULUS",IF(I9&gt;=60,"LULUS DENGAN CATATAN",IF(I9&lt;60,"TIDAK LULUS",0)))</f>
        <v>TIDAK LULUS</v>
      </c>
      <c r="K9" s="22"/>
    </row>
    <row r="10" s="51" customFormat="1" spans="1:11">
      <c r="A10" s="20"/>
      <c r="B10" s="57">
        <f>B9+1</f>
        <v>2</v>
      </c>
      <c r="C10" s="22" t="s">
        <v>136</v>
      </c>
      <c r="D10" s="66" t="s">
        <v>137</v>
      </c>
      <c r="E10" s="63"/>
      <c r="F10" s="63"/>
      <c r="G10" s="63"/>
      <c r="H10" s="63"/>
      <c r="I10" s="65">
        <f t="shared" si="0"/>
        <v>0</v>
      </c>
      <c r="J10" s="22" t="str">
        <f t="shared" ref="J10:J13" si="1">IF(I10&gt;=70,"LULUS",IF(I10&gt;=60,"LULUS DENGAN CATATAN",IF(I10&lt;60,"TIDAK LULUS",0)))</f>
        <v>TIDAK LULUS</v>
      </c>
      <c r="K10" s="22"/>
    </row>
    <row r="11" s="51" customFormat="1" spans="1:11">
      <c r="A11" s="20"/>
      <c r="B11" s="57">
        <f t="shared" ref="B11:B13" si="2">B10+1</f>
        <v>3</v>
      </c>
      <c r="C11" s="22" t="s">
        <v>138</v>
      </c>
      <c r="D11" s="66" t="s">
        <v>135</v>
      </c>
      <c r="E11" s="63"/>
      <c r="F11" s="63"/>
      <c r="G11" s="63"/>
      <c r="H11" s="63"/>
      <c r="I11" s="65">
        <f t="shared" si="0"/>
        <v>0</v>
      </c>
      <c r="J11" s="22" t="str">
        <f t="shared" si="1"/>
        <v>TIDAK LULUS</v>
      </c>
      <c r="K11" s="22"/>
    </row>
    <row r="12" s="51" customFormat="1" spans="1:11">
      <c r="A12" s="20"/>
      <c r="B12" s="57">
        <f t="shared" si="2"/>
        <v>4</v>
      </c>
      <c r="C12" s="22" t="s">
        <v>139</v>
      </c>
      <c r="D12" s="66" t="s">
        <v>135</v>
      </c>
      <c r="E12" s="63"/>
      <c r="F12" s="63"/>
      <c r="G12" s="63"/>
      <c r="H12" s="63"/>
      <c r="I12" s="65">
        <f t="shared" si="0"/>
        <v>0</v>
      </c>
      <c r="J12" s="22" t="str">
        <f t="shared" si="1"/>
        <v>TIDAK LULUS</v>
      </c>
      <c r="K12" s="22"/>
    </row>
    <row r="13" s="51" customFormat="1" ht="28.5" spans="1:11">
      <c r="A13" s="20"/>
      <c r="B13" s="57">
        <f t="shared" si="2"/>
        <v>5</v>
      </c>
      <c r="C13" s="22" t="s">
        <v>140</v>
      </c>
      <c r="D13" s="66" t="s">
        <v>135</v>
      </c>
      <c r="E13" s="63"/>
      <c r="F13" s="63"/>
      <c r="G13" s="63"/>
      <c r="H13" s="63"/>
      <c r="I13" s="65">
        <f t="shared" si="0"/>
        <v>0</v>
      </c>
      <c r="J13" s="22" t="str">
        <f t="shared" si="1"/>
        <v>TIDAK LULUS</v>
      </c>
      <c r="K13" s="22"/>
    </row>
    <row r="14" spans="1:11">
      <c r="A14" s="2"/>
      <c r="B14" s="21"/>
      <c r="C14" s="24"/>
      <c r="D14" s="58"/>
      <c r="E14" s="34"/>
      <c r="F14" s="34"/>
      <c r="G14" s="34"/>
      <c r="H14" s="34"/>
      <c r="I14" s="33"/>
      <c r="J14" s="24"/>
      <c r="K14" s="24"/>
    </row>
    <row r="15" spans="2:11">
      <c r="B15" s="43"/>
      <c r="C15" s="44"/>
      <c r="D15" s="67"/>
      <c r="E15" s="47"/>
      <c r="F15" s="47"/>
      <c r="G15" s="47"/>
      <c r="H15" s="47"/>
      <c r="I15" s="46"/>
      <c r="J15" s="44"/>
      <c r="K15" s="44"/>
    </row>
    <row r="17" spans="5:5">
      <c r="E17" s="48"/>
    </row>
    <row r="18" spans="7:8">
      <c r="G18" s="49"/>
      <c r="H18" s="49"/>
    </row>
    <row r="19" spans="7:8">
      <c r="G19" s="49"/>
      <c r="H19" s="49"/>
    </row>
    <row r="20" spans="7:8">
      <c r="G20" s="49"/>
      <c r="H20" s="49"/>
    </row>
    <row r="21" spans="7:8">
      <c r="G21" s="49"/>
      <c r="H21" s="49"/>
    </row>
    <row r="22" spans="7:8">
      <c r="G22" s="49"/>
      <c r="H22" s="49"/>
    </row>
  </sheetData>
  <mergeCells count="8">
    <mergeCell ref="B4:K4"/>
    <mergeCell ref="E6:H6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78"/>
  <sheetViews>
    <sheetView zoomScale="70" zoomScaleNormal="70" workbookViewId="0">
      <pane xSplit="1" ySplit="14" topLeftCell="B45" activePane="bottomRight" state="frozen"/>
      <selection/>
      <selection pane="topRight"/>
      <selection pane="bottomLeft"/>
      <selection pane="bottomRight" activeCell="D30" sqref="D30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70.7079646017699" style="4" customWidth="1"/>
    <col min="5" max="5" width="9.14159292035398" style="3"/>
    <col min="6" max="6" width="1.70796460176991" style="3" customWidth="1"/>
    <col min="7" max="9" width="7.70796460176991" style="5" customWidth="1"/>
    <col min="10" max="10" width="10.141592920354" style="5" customWidth="1"/>
    <col min="11" max="11" width="9.14159292035398" style="4"/>
    <col min="12" max="12" width="16.858407079646" customWidth="1"/>
  </cols>
  <sheetData>
    <row r="1" spans="1:1">
      <c r="A1" s="1" t="s">
        <v>0</v>
      </c>
    </row>
    <row r="2" spans="1:1">
      <c r="A2" s="1" t="s">
        <v>1</v>
      </c>
    </row>
    <row r="5" spans="1:3">
      <c r="A5" s="1" t="s">
        <v>2</v>
      </c>
      <c r="B5" s="2" t="s">
        <v>3</v>
      </c>
      <c r="C5" s="1" t="s">
        <v>141</v>
      </c>
    </row>
    <row r="6" spans="1:3">
      <c r="A6" s="1" t="s">
        <v>4</v>
      </c>
      <c r="B6" s="2" t="s">
        <v>3</v>
      </c>
      <c r="C6" t="s">
        <v>5</v>
      </c>
    </row>
    <row r="7" spans="1:3">
      <c r="A7" s="1" t="s">
        <v>6</v>
      </c>
      <c r="B7" s="2" t="s">
        <v>3</v>
      </c>
      <c r="C7" t="s">
        <v>7</v>
      </c>
    </row>
    <row r="8" spans="1:3">
      <c r="A8" s="1" t="s">
        <v>8</v>
      </c>
      <c r="B8" s="2" t="s">
        <v>3</v>
      </c>
      <c r="C8" t="s">
        <v>9</v>
      </c>
    </row>
    <row r="9" spans="1:3">
      <c r="A9" s="1" t="s">
        <v>10</v>
      </c>
      <c r="B9" s="2" t="s">
        <v>3</v>
      </c>
      <c r="C9" t="s">
        <v>11</v>
      </c>
    </row>
    <row r="10" spans="1:3">
      <c r="A10" s="1" t="s">
        <v>12</v>
      </c>
      <c r="B10" s="2" t="s">
        <v>3</v>
      </c>
      <c r="C10" s="1" t="s">
        <v>13</v>
      </c>
    </row>
    <row r="11" spans="1:3">
      <c r="A11" s="1" t="s">
        <v>14</v>
      </c>
      <c r="B11" s="2" t="s">
        <v>3</v>
      </c>
      <c r="C11" s="7" t="e">
        <f>K16</f>
        <v>#REF!</v>
      </c>
    </row>
    <row r="13" s="1" customFormat="1" spans="1:12">
      <c r="A13" s="8" t="s">
        <v>15</v>
      </c>
      <c r="B13" s="9" t="s">
        <v>16</v>
      </c>
      <c r="C13" s="9" t="s">
        <v>17</v>
      </c>
      <c r="D13" s="52" t="s">
        <v>18</v>
      </c>
      <c r="E13" s="10" t="s">
        <v>19</v>
      </c>
      <c r="F13" s="10"/>
      <c r="G13" s="60" t="s">
        <v>21</v>
      </c>
      <c r="H13" s="61"/>
      <c r="I13" s="61"/>
      <c r="J13" s="64"/>
      <c r="K13" s="26" t="s">
        <v>22</v>
      </c>
      <c r="L13" s="38" t="s">
        <v>23</v>
      </c>
    </row>
    <row r="14" s="1" customFormat="1" spans="1:12">
      <c r="A14" s="8"/>
      <c r="B14" s="9"/>
      <c r="C14" s="11"/>
      <c r="D14" s="53"/>
      <c r="E14" s="12"/>
      <c r="F14" s="12"/>
      <c r="G14" s="9" t="s">
        <v>12</v>
      </c>
      <c r="H14" s="9" t="s">
        <v>131</v>
      </c>
      <c r="I14" s="9" t="s">
        <v>132</v>
      </c>
      <c r="J14" s="9" t="s">
        <v>133</v>
      </c>
      <c r="K14" s="26"/>
      <c r="L14" s="38"/>
    </row>
    <row r="15" s="1" customFormat="1" spans="1:12">
      <c r="A15" s="14"/>
      <c r="B15" s="13"/>
      <c r="C15" s="13"/>
      <c r="D15" s="13"/>
      <c r="E15" s="13"/>
      <c r="F15" s="27"/>
      <c r="G15" s="29"/>
      <c r="H15" s="29"/>
      <c r="I15" s="29"/>
      <c r="J15" s="29"/>
      <c r="K15" s="28"/>
      <c r="L15" s="39"/>
    </row>
    <row r="16" s="1" customFormat="1" spans="2:12">
      <c r="B16" s="54"/>
      <c r="C16" s="41" t="s">
        <v>31</v>
      </c>
      <c r="D16" s="55"/>
      <c r="E16" s="62">
        <f>E17+E21+E27+E43+E60+E65+E69</f>
        <v>1</v>
      </c>
      <c r="F16" s="62"/>
      <c r="G16" s="40">
        <f t="shared" ref="G16:K16" si="0">G17+G21+G27+G43+G60+G65+G69</f>
        <v>70.8</v>
      </c>
      <c r="H16" s="40">
        <f t="shared" si="0"/>
        <v>66.2</v>
      </c>
      <c r="I16" s="40" t="e">
        <f t="shared" si="0"/>
        <v>#REF!</v>
      </c>
      <c r="J16" s="40" t="e">
        <f t="shared" si="0"/>
        <v>#REF!</v>
      </c>
      <c r="K16" s="40" t="e">
        <f t="shared" si="0"/>
        <v>#REF!</v>
      </c>
      <c r="L16" s="41"/>
    </row>
    <row r="17" spans="2:12">
      <c r="B17" s="17" t="s">
        <v>32</v>
      </c>
      <c r="C17" s="18" t="s">
        <v>33</v>
      </c>
      <c r="D17" s="56"/>
      <c r="E17" s="19">
        <f>SUM(E18:E19)</f>
        <v>0.1</v>
      </c>
      <c r="F17" s="19"/>
      <c r="G17" s="31">
        <f t="shared" ref="G17:K17" si="1">SUM(G18:G20)</f>
        <v>6</v>
      </c>
      <c r="H17" s="31">
        <f t="shared" si="1"/>
        <v>4</v>
      </c>
      <c r="I17" s="31" t="e">
        <f t="shared" si="1"/>
        <v>#REF!</v>
      </c>
      <c r="J17" s="31" t="e">
        <f t="shared" si="1"/>
        <v>#REF!</v>
      </c>
      <c r="K17" s="31" t="e">
        <f t="shared" si="1"/>
        <v>#REF!</v>
      </c>
      <c r="L17" s="42"/>
    </row>
    <row r="18" s="51" customFormat="1" ht="30" customHeight="1" spans="1:12">
      <c r="A18" s="20" t="s">
        <v>34</v>
      </c>
      <c r="B18" s="57">
        <v>1</v>
      </c>
      <c r="C18" s="22" t="str">
        <f>VLOOKUP($A18,PERTANYAAN!$A$18:$E$71,3,0)</f>
        <v>Pengalaman di dalam Daniswara Group</v>
      </c>
      <c r="D18" s="22" t="str">
        <f>VLOOKUP($A18,PERTANYAAN!$A$18:$E$71,4,0)</f>
        <v>Apakah ada Pengalaman di Daniswara Group? Bagaimana pandangan anda terkait Daniswara Group?</v>
      </c>
      <c r="E18" s="23">
        <f>VLOOKUP($A18,PERTANYAAN!$A$18:$E$71,5,0)</f>
        <v>0.06</v>
      </c>
      <c r="F18" s="23"/>
      <c r="G18" s="63">
        <f>+'PENILAIAN-HR'!M18</f>
        <v>6</v>
      </c>
      <c r="H18" s="63">
        <f>+'PENILAIAN-ILHAM'!M18</f>
        <v>0</v>
      </c>
      <c r="I18" s="63" t="e">
        <f>+#REF!</f>
        <v>#REF!</v>
      </c>
      <c r="J18" s="63" t="e">
        <f>+#REF!</f>
        <v>#REF!</v>
      </c>
      <c r="K18" s="65" t="e">
        <f>AVERAGE(G18:J18)</f>
        <v>#REF!</v>
      </c>
      <c r="L18" s="22"/>
    </row>
    <row r="19" s="51" customFormat="1" ht="30" customHeight="1" spans="1:12">
      <c r="A19" s="20" t="s">
        <v>38</v>
      </c>
      <c r="B19" s="57">
        <f>B18+1</f>
        <v>2</v>
      </c>
      <c r="C19" s="22" t="str">
        <f>VLOOKUP($A19,PERTANYAAN!$A$18:$E$71,3,0)</f>
        <v>Pengalaman di luar Daniswara Group</v>
      </c>
      <c r="D19" s="22" t="str">
        <f>VLOOKUP($A19,PERTANYAAN!$A$18:$E$71,4,0)</f>
        <v>Jika tidak, apakah sudah ada pengalaman sejenis di luar Daniswara?</v>
      </c>
      <c r="E19" s="23">
        <f>VLOOKUP($A19,PERTANYAAN!$A$18:$E$71,5,0)</f>
        <v>0.04</v>
      </c>
      <c r="F19" s="23"/>
      <c r="G19" s="63">
        <f>+'PENILAIAN-HR'!M19</f>
        <v>0</v>
      </c>
      <c r="H19" s="63">
        <f>+'PENILAIAN-ILHAM'!M19</f>
        <v>4</v>
      </c>
      <c r="I19" s="63" t="e">
        <f>+#REF!</f>
        <v>#REF!</v>
      </c>
      <c r="J19" s="63" t="e">
        <f>+#REF!</f>
        <v>#REF!</v>
      </c>
      <c r="K19" s="65" t="e">
        <f t="shared" ref="K19" si="2">AVERAGE(G19:J19)</f>
        <v>#REF!</v>
      </c>
      <c r="L19" s="22"/>
    </row>
    <row r="20" spans="1:12">
      <c r="A20" s="2"/>
      <c r="B20" s="21"/>
      <c r="C20" s="24"/>
      <c r="D20" s="58"/>
      <c r="E20" s="25"/>
      <c r="F20" s="25"/>
      <c r="G20" s="34"/>
      <c r="H20" s="34"/>
      <c r="I20" s="34"/>
      <c r="J20" s="34"/>
      <c r="K20" s="33"/>
      <c r="L20" s="24"/>
    </row>
    <row r="21" spans="1:12">
      <c r="A21" s="2"/>
      <c r="B21" s="17" t="s">
        <v>29</v>
      </c>
      <c r="C21" s="18" t="s">
        <v>41</v>
      </c>
      <c r="D21" s="56"/>
      <c r="E21" s="19">
        <f>SUM(E22:E25)</f>
        <v>0.05</v>
      </c>
      <c r="F21" s="19"/>
      <c r="G21" s="31">
        <f t="shared" ref="G21:K21" si="3">SUM(G22:G25)</f>
        <v>5</v>
      </c>
      <c r="H21" s="31">
        <f t="shared" si="3"/>
        <v>3</v>
      </c>
      <c r="I21" s="31" t="e">
        <f t="shared" si="3"/>
        <v>#REF!</v>
      </c>
      <c r="J21" s="31" t="e">
        <f t="shared" si="3"/>
        <v>#REF!</v>
      </c>
      <c r="K21" s="31" t="e">
        <f t="shared" si="3"/>
        <v>#REF!</v>
      </c>
      <c r="L21" s="42"/>
    </row>
    <row r="22" s="51" customFormat="1" ht="30" customHeight="1" spans="1:12">
      <c r="A22" s="20" t="s">
        <v>42</v>
      </c>
      <c r="B22" s="57">
        <v>1</v>
      </c>
      <c r="C22" s="22" t="str">
        <f>VLOOKUP($A22,PERTANYAAN!$A$18:$E$71,3,0)</f>
        <v>Identitas (KTP &amp; KK)</v>
      </c>
      <c r="D22" s="22" t="str">
        <f>VLOOKUP($A22,PERTANYAAN!$A$18:$E$71,4,0)</f>
        <v>Apakah ada Identitas Diri KTP &amp; KK?</v>
      </c>
      <c r="E22" s="23">
        <f>VLOOKUP($A22,PERTANYAAN!$A$18:$E$71,5,0)</f>
        <v>0.01</v>
      </c>
      <c r="F22" s="23"/>
      <c r="G22" s="63">
        <f>+'PENILAIAN-HR'!M22</f>
        <v>1</v>
      </c>
      <c r="H22" s="63">
        <f>+'PENILAIAN-ILHAM'!M22</f>
        <v>1</v>
      </c>
      <c r="I22" s="63" t="e">
        <f>+#REF!</f>
        <v>#REF!</v>
      </c>
      <c r="J22" s="63" t="e">
        <f>+#REF!</f>
        <v>#REF!</v>
      </c>
      <c r="K22" s="65" t="e">
        <f t="shared" ref="K22:K25" si="4">AVERAGE(G22:J22)</f>
        <v>#REF!</v>
      </c>
      <c r="L22" s="22"/>
    </row>
    <row r="23" s="51" customFormat="1" ht="30" customHeight="1" spans="1:12">
      <c r="A23" s="20" t="s">
        <v>45</v>
      </c>
      <c r="B23" s="57">
        <f>B22+1</f>
        <v>2</v>
      </c>
      <c r="C23" s="22" t="str">
        <f>VLOOKUP($A23,PERTANYAAN!$A$18:$E$71,3,0)</f>
        <v>SIM A (utk jabatan di Divisi Operasi)</v>
      </c>
      <c r="D23" s="22" t="str">
        <f>VLOOKUP($A23,PERTANYAAN!$A$18:$E$71,4,0)</f>
        <v>Apakah sudah memiliki SIM A?</v>
      </c>
      <c r="E23" s="23">
        <f>VLOOKUP($A23,PERTANYAAN!$A$18:$E$71,5,0)</f>
        <v>0.02</v>
      </c>
      <c r="F23" s="23"/>
      <c r="G23" s="63">
        <f>+'PENILAIAN-HR'!M23</f>
        <v>2</v>
      </c>
      <c r="H23" s="63">
        <f>+'PENILAIAN-ILHAM'!M23</f>
        <v>0</v>
      </c>
      <c r="I23" s="63" t="e">
        <f>+#REF!</f>
        <v>#REF!</v>
      </c>
      <c r="J23" s="63" t="e">
        <f>+#REF!</f>
        <v>#REF!</v>
      </c>
      <c r="K23" s="65" t="e">
        <f t="shared" si="4"/>
        <v>#REF!</v>
      </c>
      <c r="L23" s="22"/>
    </row>
    <row r="24" s="51" customFormat="1" ht="30" customHeight="1" spans="1:12">
      <c r="A24" s="20" t="s">
        <v>48</v>
      </c>
      <c r="B24" s="57">
        <f t="shared" ref="B24:B25" si="5">B23+1</f>
        <v>3</v>
      </c>
      <c r="C24" s="22" t="str">
        <f>VLOOKUP($A24,PERTANYAAN!$A$18:$E$71,3,0)</f>
        <v>SIM C</v>
      </c>
      <c r="D24" s="22" t="str">
        <f>VLOOKUP($A24,PERTANYAAN!$A$18:$E$71,4,0)</f>
        <v>Apakah sudah memiliki SIM C?</v>
      </c>
      <c r="E24" s="23">
        <f>VLOOKUP($A24,PERTANYAAN!$A$18:$E$71,5,0)</f>
        <v>0.01</v>
      </c>
      <c r="F24" s="23"/>
      <c r="G24" s="63">
        <f>+'PENILAIAN-HR'!M24</f>
        <v>1</v>
      </c>
      <c r="H24" s="63">
        <f>+'PENILAIAN-ILHAM'!M24</f>
        <v>1</v>
      </c>
      <c r="I24" s="63" t="e">
        <f>+#REF!</f>
        <v>#REF!</v>
      </c>
      <c r="J24" s="63" t="e">
        <f>+#REF!</f>
        <v>#REF!</v>
      </c>
      <c r="K24" s="65" t="e">
        <f t="shared" si="4"/>
        <v>#REF!</v>
      </c>
      <c r="L24" s="22"/>
    </row>
    <row r="25" s="51" customFormat="1" ht="30" customHeight="1" spans="1:12">
      <c r="A25" s="20" t="s">
        <v>51</v>
      </c>
      <c r="B25" s="57">
        <f t="shared" si="5"/>
        <v>4</v>
      </c>
      <c r="C25" s="22" t="str">
        <f>VLOOKUP($A25,PERTANYAAN!$A$18:$E$71,3,0)</f>
        <v>NPWP</v>
      </c>
      <c r="D25" s="22" t="str">
        <f>VLOOKUP($A25,PERTANYAAN!$A$18:$E$71,4,0)</f>
        <v>Apakah sudah Memiliki NPWP?</v>
      </c>
      <c r="E25" s="23">
        <f>VLOOKUP($A25,PERTANYAAN!$A$18:$E$71,5,0)</f>
        <v>0.01</v>
      </c>
      <c r="F25" s="23"/>
      <c r="G25" s="63">
        <f>+'PENILAIAN-HR'!M25</f>
        <v>1</v>
      </c>
      <c r="H25" s="63">
        <f>+'PENILAIAN-ILHAM'!M25</f>
        <v>1</v>
      </c>
      <c r="I25" s="63" t="e">
        <f>+#REF!</f>
        <v>#REF!</v>
      </c>
      <c r="J25" s="63" t="e">
        <f>+#REF!</f>
        <v>#REF!</v>
      </c>
      <c r="K25" s="65" t="e">
        <f t="shared" si="4"/>
        <v>#REF!</v>
      </c>
      <c r="L25" s="22"/>
    </row>
    <row r="26" spans="1:12">
      <c r="A26" s="2"/>
      <c r="B26" s="21"/>
      <c r="C26" s="24"/>
      <c r="D26" s="58"/>
      <c r="E26" s="25"/>
      <c r="F26" s="25"/>
      <c r="G26" s="34"/>
      <c r="H26" s="34"/>
      <c r="I26" s="34"/>
      <c r="J26" s="34"/>
      <c r="K26" s="33"/>
      <c r="L26" s="24"/>
    </row>
    <row r="27" spans="1:12">
      <c r="A27" s="2"/>
      <c r="B27" s="17" t="s">
        <v>54</v>
      </c>
      <c r="C27" s="18" t="s">
        <v>55</v>
      </c>
      <c r="D27" s="59"/>
      <c r="E27" s="19">
        <f>E28</f>
        <v>0.35</v>
      </c>
      <c r="F27" s="35"/>
      <c r="G27" s="31">
        <f t="shared" ref="G27:K27" si="6">G28</f>
        <v>23</v>
      </c>
      <c r="H27" s="31">
        <f t="shared" si="6"/>
        <v>20</v>
      </c>
      <c r="I27" s="31" t="e">
        <f t="shared" si="6"/>
        <v>#REF!</v>
      </c>
      <c r="J27" s="31" t="e">
        <f t="shared" si="6"/>
        <v>#REF!</v>
      </c>
      <c r="K27" s="31" t="e">
        <f t="shared" si="6"/>
        <v>#REF!</v>
      </c>
      <c r="L27" s="42"/>
    </row>
    <row r="28" spans="1:12">
      <c r="A28" s="20" t="s">
        <v>56</v>
      </c>
      <c r="B28" s="21">
        <v>1</v>
      </c>
      <c r="C28" s="22" t="str">
        <f>VLOOKUP($A28,PERTANYAAN!$A$18:$E$71,3,0)</f>
        <v>Operasi / Logistik</v>
      </c>
      <c r="D28" s="58"/>
      <c r="E28" s="23">
        <f>VLOOKUP($A28,PERTANYAAN!$A$18:$E$71,5,0)</f>
        <v>0.35</v>
      </c>
      <c r="F28" s="25"/>
      <c r="G28" s="33">
        <f t="shared" ref="G28:K28" si="7">SUM(G29:G33)</f>
        <v>23</v>
      </c>
      <c r="H28" s="33">
        <f t="shared" si="7"/>
        <v>20</v>
      </c>
      <c r="I28" s="33" t="e">
        <f t="shared" si="7"/>
        <v>#REF!</v>
      </c>
      <c r="J28" s="33" t="e">
        <f t="shared" si="7"/>
        <v>#REF!</v>
      </c>
      <c r="K28" s="33" t="e">
        <f t="shared" si="7"/>
        <v>#REF!</v>
      </c>
      <c r="L28" s="24"/>
    </row>
    <row r="29" s="51" customFormat="1" ht="30" customHeight="1" spans="1:12">
      <c r="A29" s="20" t="s">
        <v>58</v>
      </c>
      <c r="B29" s="78" t="s">
        <v>59</v>
      </c>
      <c r="C29" s="22" t="str">
        <f>VLOOKUP($A29,PERTANYAAN!$A$18:$E$71,3,0)</f>
        <v>Skill Mengemudi</v>
      </c>
      <c r="D29" s="22" t="str">
        <f>VLOOKUP($A29,PERTANYAAN!$A$18:$E$71,4,0)</f>
        <v>Coba ceritakan pengalaman / keahlian dalam mengemudi mobil angkut/logistik?</v>
      </c>
      <c r="E29" s="23">
        <f>VLOOKUP($A29,PERTANYAAN!$A$18:$E$71,5,0)</f>
        <v>0.15</v>
      </c>
      <c r="F29" s="23"/>
      <c r="G29" s="63">
        <f>+'PENILAIAN-HR'!M29</f>
        <v>12</v>
      </c>
      <c r="H29" s="63">
        <f>+'PENILAIAN-ILHAM'!M29</f>
        <v>6</v>
      </c>
      <c r="I29" s="63" t="e">
        <f>+#REF!</f>
        <v>#REF!</v>
      </c>
      <c r="J29" s="63" t="e">
        <f>+#REF!</f>
        <v>#REF!</v>
      </c>
      <c r="K29" s="65" t="e">
        <f t="shared" ref="K29:K32" si="8">AVERAGE(G29:J29)</f>
        <v>#REF!</v>
      </c>
      <c r="L29" s="22"/>
    </row>
    <row r="30" s="51" customFormat="1" ht="30" customHeight="1" spans="1:12">
      <c r="A30" s="20" t="s">
        <v>62</v>
      </c>
      <c r="B30" s="78" t="s">
        <v>59</v>
      </c>
      <c r="C30" s="22" t="str">
        <f>VLOOKUP($A30,PERTANYAAN!$A$18:$E$71,3,0)</f>
        <v>Flow Administrasi Logistik</v>
      </c>
      <c r="D30" s="22" t="str">
        <f>VLOOKUP($A30,PERTANYAAN!$A$18:$E$71,4,0)</f>
        <v>Coba ceritakan yang anda ketahui tentang alur administrasi logistik? Dan kaitannya dengan Ms. Office</v>
      </c>
      <c r="E30" s="23">
        <f>VLOOKUP($A30,PERTANYAAN!$A$18:$E$71,5,0)</f>
        <v>0.1</v>
      </c>
      <c r="F30" s="23"/>
      <c r="G30" s="63">
        <f>+'PENILAIAN-HR'!M30</f>
        <v>6</v>
      </c>
      <c r="H30" s="63">
        <f>+'PENILAIAN-ILHAM'!M30</f>
        <v>6</v>
      </c>
      <c r="I30" s="63" t="e">
        <f>+#REF!</f>
        <v>#REF!</v>
      </c>
      <c r="J30" s="63" t="e">
        <f>+#REF!</f>
        <v>#REF!</v>
      </c>
      <c r="K30" s="65" t="e">
        <f t="shared" si="8"/>
        <v>#REF!</v>
      </c>
      <c r="L30" s="22"/>
    </row>
    <row r="31" s="51" customFormat="1" ht="30" customHeight="1" spans="1:12">
      <c r="A31" s="20" t="s">
        <v>65</v>
      </c>
      <c r="B31" s="78" t="s">
        <v>59</v>
      </c>
      <c r="C31" s="22" t="str">
        <f>VLOOKUP($A31,PERTANYAAN!$A$18:$E$71,3,0)</f>
        <v>Pengetahuan terkait logistik</v>
      </c>
      <c r="D31" s="22" t="str">
        <f>VLOOKUP($A31,PERTANYAAN!$A$18:$E$71,4,0)</f>
        <v>Ceritakan yang anda ketahui terkait dengan logistik?</v>
      </c>
      <c r="E31" s="23">
        <f>VLOOKUP($A31,PERTANYAAN!$A$18:$E$71,5,0)</f>
        <v>0.025</v>
      </c>
      <c r="F31" s="23"/>
      <c r="G31" s="63">
        <f>+'PENILAIAN-HR'!M31</f>
        <v>2</v>
      </c>
      <c r="H31" s="63">
        <f>+'PENILAIAN-ILHAM'!M31</f>
        <v>2</v>
      </c>
      <c r="I31" s="63" t="e">
        <f>+#REF!</f>
        <v>#REF!</v>
      </c>
      <c r="J31" s="63" t="e">
        <f>+#REF!</f>
        <v>#REF!</v>
      </c>
      <c r="K31" s="65" t="e">
        <f t="shared" si="8"/>
        <v>#REF!</v>
      </c>
      <c r="L31" s="22"/>
    </row>
    <row r="32" s="51" customFormat="1" ht="30" customHeight="1" spans="1:12">
      <c r="A32" s="20" t="s">
        <v>68</v>
      </c>
      <c r="B32" s="78" t="s">
        <v>59</v>
      </c>
      <c r="C32" s="22" t="str">
        <f>VLOOKUP($A32,PERTANYAAN!$A$18:$E$71,3,0)</f>
        <v>Pengalaman di Bongkar Muat</v>
      </c>
      <c r="D32" s="22" t="str">
        <f>VLOOKUP($A32,PERTANYAAN!$A$18:$E$71,4,0)</f>
        <v>Apakah memiliki pengalaman terkait bongkar muat?sedalam apa?</v>
      </c>
      <c r="E32" s="23">
        <f>VLOOKUP($A32,PERTANYAAN!$A$18:$E$71,5,0)</f>
        <v>0.075</v>
      </c>
      <c r="F32" s="23"/>
      <c r="G32" s="63">
        <f>+'PENILAIAN-HR'!M32</f>
        <v>3</v>
      </c>
      <c r="H32" s="63">
        <f>+'PENILAIAN-ILHAM'!M32</f>
        <v>6</v>
      </c>
      <c r="I32" s="63" t="e">
        <f>+#REF!</f>
        <v>#REF!</v>
      </c>
      <c r="J32" s="63" t="e">
        <f>+#REF!</f>
        <v>#REF!</v>
      </c>
      <c r="K32" s="65" t="e">
        <f t="shared" si="8"/>
        <v>#REF!</v>
      </c>
      <c r="L32" s="22"/>
    </row>
    <row r="33" spans="1:12">
      <c r="A33" s="2"/>
      <c r="B33" s="21"/>
      <c r="C33" s="24"/>
      <c r="D33" s="58"/>
      <c r="E33" s="25"/>
      <c r="F33" s="25"/>
      <c r="G33" s="34"/>
      <c r="H33" s="34"/>
      <c r="I33" s="34"/>
      <c r="J33" s="34"/>
      <c r="K33" s="33"/>
      <c r="L33" s="24"/>
    </row>
    <row r="34" hidden="1" outlineLevel="1" spans="1:12">
      <c r="A34" s="2"/>
      <c r="B34" s="21">
        <f>B28+1</f>
        <v>2</v>
      </c>
      <c r="C34" s="24" t="s">
        <v>71</v>
      </c>
      <c r="D34" s="58"/>
      <c r="E34" s="25">
        <f>SUM(E35:E37)</f>
        <v>0.35</v>
      </c>
      <c r="F34" s="25"/>
      <c r="G34" s="34"/>
      <c r="H34" s="34"/>
      <c r="I34" s="34"/>
      <c r="J34" s="34"/>
      <c r="K34" s="33"/>
      <c r="L34" s="24"/>
    </row>
    <row r="35" hidden="1" outlineLevel="1" spans="1:12">
      <c r="A35" s="2"/>
      <c r="B35" s="79" t="s">
        <v>59</v>
      </c>
      <c r="C35" s="24" t="s">
        <v>72</v>
      </c>
      <c r="D35" s="58"/>
      <c r="E35" s="25">
        <v>0.15</v>
      </c>
      <c r="F35" s="25"/>
      <c r="G35" s="34"/>
      <c r="H35" s="34"/>
      <c r="I35" s="34"/>
      <c r="J35" s="34"/>
      <c r="K35" s="33"/>
      <c r="L35" s="24"/>
    </row>
    <row r="36" hidden="1" outlineLevel="1" spans="1:12">
      <c r="A36" s="2"/>
      <c r="B36" s="79" t="s">
        <v>59</v>
      </c>
      <c r="C36" s="24" t="s">
        <v>73</v>
      </c>
      <c r="D36" s="58"/>
      <c r="E36" s="25">
        <v>0.2</v>
      </c>
      <c r="F36" s="25"/>
      <c r="G36" s="34"/>
      <c r="H36" s="34"/>
      <c r="I36" s="34"/>
      <c r="J36" s="34"/>
      <c r="K36" s="33"/>
      <c r="L36" s="24"/>
    </row>
    <row r="37" hidden="1" outlineLevel="1" spans="1:12">
      <c r="A37" s="2"/>
      <c r="B37" s="21"/>
      <c r="C37" s="24"/>
      <c r="D37" s="58"/>
      <c r="E37" s="25"/>
      <c r="F37" s="25"/>
      <c r="G37" s="34"/>
      <c r="H37" s="34"/>
      <c r="I37" s="34"/>
      <c r="J37" s="34"/>
      <c r="K37" s="33"/>
      <c r="L37" s="24"/>
    </row>
    <row r="38" hidden="1" outlineLevel="1" spans="1:12">
      <c r="A38" s="2"/>
      <c r="B38" s="21">
        <v>3</v>
      </c>
      <c r="C38" s="24" t="s">
        <v>74</v>
      </c>
      <c r="D38" s="58"/>
      <c r="E38" s="25"/>
      <c r="F38" s="25"/>
      <c r="G38" s="34"/>
      <c r="H38" s="34"/>
      <c r="I38" s="34"/>
      <c r="J38" s="34"/>
      <c r="K38" s="33"/>
      <c r="L38" s="24"/>
    </row>
    <row r="39" hidden="1" outlineLevel="1" spans="1:12">
      <c r="A39" s="2"/>
      <c r="B39" s="79" t="s">
        <v>59</v>
      </c>
      <c r="C39" s="24" t="s">
        <v>75</v>
      </c>
      <c r="D39" s="58"/>
      <c r="E39" s="25"/>
      <c r="F39" s="25"/>
      <c r="G39" s="34"/>
      <c r="H39" s="34"/>
      <c r="I39" s="34"/>
      <c r="J39" s="34"/>
      <c r="K39" s="33"/>
      <c r="L39" s="24"/>
    </row>
    <row r="40" hidden="1" outlineLevel="1" spans="1:12">
      <c r="A40" s="2"/>
      <c r="B40" s="79" t="s">
        <v>59</v>
      </c>
      <c r="C40" s="24" t="s">
        <v>76</v>
      </c>
      <c r="D40" s="58"/>
      <c r="E40" s="25"/>
      <c r="F40" s="25"/>
      <c r="G40" s="34"/>
      <c r="H40" s="34"/>
      <c r="I40" s="34"/>
      <c r="J40" s="34"/>
      <c r="K40" s="33"/>
      <c r="L40" s="24"/>
    </row>
    <row r="41" hidden="1" outlineLevel="1" spans="1:12">
      <c r="A41" s="2"/>
      <c r="B41" s="79" t="s">
        <v>59</v>
      </c>
      <c r="C41" s="24"/>
      <c r="D41" s="58"/>
      <c r="E41" s="25"/>
      <c r="F41" s="25"/>
      <c r="G41" s="34"/>
      <c r="H41" s="34"/>
      <c r="I41" s="34"/>
      <c r="J41" s="34"/>
      <c r="K41" s="33"/>
      <c r="L41" s="24"/>
    </row>
    <row r="42" hidden="1" outlineLevel="1" spans="1:12">
      <c r="A42" s="2"/>
      <c r="B42" s="21"/>
      <c r="C42" s="24"/>
      <c r="D42" s="58"/>
      <c r="E42" s="25"/>
      <c r="F42" s="25"/>
      <c r="G42" s="34"/>
      <c r="H42" s="34"/>
      <c r="I42" s="34"/>
      <c r="J42" s="34"/>
      <c r="K42" s="33"/>
      <c r="L42" s="24"/>
    </row>
    <row r="43" s="1" customFormat="1" collapsed="1" spans="1:12">
      <c r="A43" s="14"/>
      <c r="B43" s="17" t="s">
        <v>77</v>
      </c>
      <c r="C43" s="18" t="s">
        <v>78</v>
      </c>
      <c r="D43" s="56"/>
      <c r="E43" s="19">
        <f>E44</f>
        <v>0.25</v>
      </c>
      <c r="F43" s="19"/>
      <c r="G43" s="31">
        <f t="shared" ref="G43:K43" si="9">G44</f>
        <v>18</v>
      </c>
      <c r="H43" s="31">
        <f t="shared" si="9"/>
        <v>21</v>
      </c>
      <c r="I43" s="31" t="e">
        <f t="shared" si="9"/>
        <v>#REF!</v>
      </c>
      <c r="J43" s="31" t="e">
        <f t="shared" si="9"/>
        <v>#REF!</v>
      </c>
      <c r="K43" s="31" t="e">
        <f t="shared" si="9"/>
        <v>#REF!</v>
      </c>
      <c r="L43" s="18"/>
    </row>
    <row r="44" spans="1:12">
      <c r="A44" s="2" t="s">
        <v>79</v>
      </c>
      <c r="B44" s="21">
        <v>1</v>
      </c>
      <c r="C44" s="22" t="str">
        <f>VLOOKUP($A44,PERTANYAAN!$A$18:$E$71,3,0)</f>
        <v>Staff</v>
      </c>
      <c r="D44" s="58"/>
      <c r="E44" s="25">
        <f>SUM(E45:E49)</f>
        <v>0.25</v>
      </c>
      <c r="F44" s="25"/>
      <c r="G44" s="33">
        <f t="shared" ref="G44:K44" si="10">SUM(G45:G48)</f>
        <v>18</v>
      </c>
      <c r="H44" s="33">
        <f t="shared" si="10"/>
        <v>21</v>
      </c>
      <c r="I44" s="33" t="e">
        <f t="shared" si="10"/>
        <v>#REF!</v>
      </c>
      <c r="J44" s="33" t="e">
        <f t="shared" si="10"/>
        <v>#REF!</v>
      </c>
      <c r="K44" s="33" t="e">
        <f t="shared" si="10"/>
        <v>#REF!</v>
      </c>
      <c r="L44" s="24"/>
    </row>
    <row r="45" s="51" customFormat="1" ht="30" customHeight="1" spans="1:12">
      <c r="A45" s="20" t="s">
        <v>81</v>
      </c>
      <c r="B45" s="78" t="s">
        <v>59</v>
      </c>
      <c r="C45" s="22" t="str">
        <f>VLOOKUP($A45,PERTANYAAN!$A$18:$E$71,3,0)</f>
        <v>Kepemimpinan</v>
      </c>
      <c r="D45" s="22" t="str">
        <f>VLOOKUP($A45,PERTANYAAN!$A$18:$E$71,4,0)</f>
        <v>Jika terjadi suatu diskusi dalam group/kelompok yang belum menemukan titik temu, apa yang akan anda lakukan?</v>
      </c>
      <c r="E45" s="23">
        <f>VLOOKUP($A45,PERTANYAAN!$A$18:$E$71,5,0)</f>
        <v>0.025</v>
      </c>
      <c r="F45" s="23"/>
      <c r="G45" s="63">
        <f>+'PENILAIAN-HR'!M45</f>
        <v>1</v>
      </c>
      <c r="H45" s="63">
        <f>+'PENILAIAN-ILHAM'!M45</f>
        <v>1.5</v>
      </c>
      <c r="I45" s="63" t="e">
        <f>+#REF!</f>
        <v>#REF!</v>
      </c>
      <c r="J45" s="63" t="e">
        <f>+#REF!</f>
        <v>#REF!</v>
      </c>
      <c r="K45" s="65" t="e">
        <f t="shared" ref="K45:K48" si="11">AVERAGE(G45:J45)</f>
        <v>#REF!</v>
      </c>
      <c r="L45" s="22"/>
    </row>
    <row r="46" s="51" customFormat="1" ht="30" customHeight="1" spans="1:12">
      <c r="A46" s="20" t="s">
        <v>84</v>
      </c>
      <c r="B46" s="78" t="s">
        <v>59</v>
      </c>
      <c r="C46" s="22" t="str">
        <f>VLOOKUP($A46,PERTANYAAN!$A$18:$E$71,3,0)</f>
        <v>Komunikasi</v>
      </c>
      <c r="D46" s="22" t="str">
        <f>VLOOKUP($A46,PERTANYAAN!$A$18:$E$71,4,0)</f>
        <v>Bagaimana hubungan kerjasama antar sesama pegawai / organisasi / kelompok?(jika memiliki pengalaman kerja)</v>
      </c>
      <c r="E46" s="23">
        <f>VLOOKUP($A46,PERTANYAAN!$A$18:$E$71,5,0)</f>
        <v>0.1</v>
      </c>
      <c r="F46" s="23"/>
      <c r="G46" s="63">
        <f>+'PENILAIAN-HR'!M46</f>
        <v>6</v>
      </c>
      <c r="H46" s="63">
        <f>+'PENILAIAN-ILHAM'!M46</f>
        <v>8</v>
      </c>
      <c r="I46" s="63" t="e">
        <f>+#REF!</f>
        <v>#REF!</v>
      </c>
      <c r="J46" s="63" t="e">
        <f>+#REF!</f>
        <v>#REF!</v>
      </c>
      <c r="K46" s="65" t="e">
        <f t="shared" si="11"/>
        <v>#REF!</v>
      </c>
      <c r="L46" s="22"/>
    </row>
    <row r="47" s="51" customFormat="1" ht="30" customHeight="1" spans="1:12">
      <c r="A47" s="20" t="s">
        <v>87</v>
      </c>
      <c r="B47" s="78" t="s">
        <v>59</v>
      </c>
      <c r="C47" s="22" t="str">
        <f>VLOOKUP($A47,PERTANYAAN!$A$18:$E$71,3,0)</f>
        <v>Patuh pada Peraturan / Commitment</v>
      </c>
      <c r="D47" s="22" t="str">
        <f>VLOOKUP($A47,PERTANYAAN!$A$18:$E$71,4,0)</f>
        <v>Bagaimana pandangan anda terkait perusahaan dan aturan yang dapat berubah ubah sesuai arah perusahaan?</v>
      </c>
      <c r="E47" s="23">
        <f>VLOOKUP($A47,PERTANYAAN!$A$18:$E$71,5,0)</f>
        <v>0.05</v>
      </c>
      <c r="F47" s="23"/>
      <c r="G47" s="63">
        <f>+'PENILAIAN-HR'!M47</f>
        <v>5</v>
      </c>
      <c r="H47" s="63">
        <f>+'PENILAIAN-ILHAM'!M47</f>
        <v>4</v>
      </c>
      <c r="I47" s="63" t="e">
        <f>+#REF!</f>
        <v>#REF!</v>
      </c>
      <c r="J47" s="63" t="e">
        <f>+#REF!</f>
        <v>#REF!</v>
      </c>
      <c r="K47" s="65" t="e">
        <f t="shared" si="11"/>
        <v>#REF!</v>
      </c>
      <c r="L47" s="22"/>
    </row>
    <row r="48" s="51" customFormat="1" ht="30" customHeight="1" spans="1:12">
      <c r="A48" s="20" t="s">
        <v>90</v>
      </c>
      <c r="B48" s="78" t="s">
        <v>59</v>
      </c>
      <c r="C48" s="22" t="str">
        <f>VLOOKUP($A48,PERTANYAAN!$A$18:$E$71,3,0)</f>
        <v>Determinasi thd tekanan</v>
      </c>
      <c r="D48" s="22" t="str">
        <f>VLOOKUP($A48,PERTANYAAN!$A$18:$E$71,4,0)</f>
        <v>Bagaimana pandangan anda jika anda dituntut pada pekerjaan diluar dari waktu normal dalam bekerja?</v>
      </c>
      <c r="E48" s="23">
        <f>VLOOKUP($A48,PERTANYAAN!$A$18:$E$71,5,0)</f>
        <v>0.075</v>
      </c>
      <c r="F48" s="23"/>
      <c r="G48" s="63">
        <f>+'PENILAIAN-HR'!M48</f>
        <v>6</v>
      </c>
      <c r="H48" s="63">
        <f>+'PENILAIAN-ILHAM'!M48</f>
        <v>7.5</v>
      </c>
      <c r="I48" s="63" t="e">
        <f>+#REF!</f>
        <v>#REF!</v>
      </c>
      <c r="J48" s="63" t="e">
        <f>+#REF!</f>
        <v>#REF!</v>
      </c>
      <c r="K48" s="65" t="e">
        <f t="shared" si="11"/>
        <v>#REF!</v>
      </c>
      <c r="L48" s="22"/>
    </row>
    <row r="49" spans="1:12">
      <c r="A49" s="2"/>
      <c r="B49" s="21"/>
      <c r="C49" s="24"/>
      <c r="D49" s="58"/>
      <c r="E49" s="25"/>
      <c r="F49" s="25"/>
      <c r="G49" s="34"/>
      <c r="H49" s="34"/>
      <c r="I49" s="34"/>
      <c r="J49" s="34"/>
      <c r="K49" s="33"/>
      <c r="L49" s="24"/>
    </row>
    <row r="50" hidden="1" outlineLevel="1" spans="1:12">
      <c r="A50" s="2"/>
      <c r="B50" s="21">
        <v>2</v>
      </c>
      <c r="C50" s="24" t="s">
        <v>93</v>
      </c>
      <c r="D50" s="58"/>
      <c r="E50" s="25"/>
      <c r="F50" s="25"/>
      <c r="G50" s="34"/>
      <c r="H50" s="34"/>
      <c r="I50" s="34"/>
      <c r="J50" s="34"/>
      <c r="K50" s="33"/>
      <c r="L50" s="24"/>
    </row>
    <row r="51" hidden="1" outlineLevel="1" spans="1:12">
      <c r="A51" s="2"/>
      <c r="B51" s="79" t="s">
        <v>59</v>
      </c>
      <c r="C51" s="24" t="s">
        <v>82</v>
      </c>
      <c r="D51" s="58"/>
      <c r="E51" s="25"/>
      <c r="F51" s="25"/>
      <c r="G51" s="34"/>
      <c r="H51" s="34"/>
      <c r="I51" s="34"/>
      <c r="J51" s="34"/>
      <c r="K51" s="33"/>
      <c r="L51" s="24"/>
    </row>
    <row r="52" hidden="1" outlineLevel="1" spans="1:12">
      <c r="A52" s="2"/>
      <c r="B52" s="79" t="s">
        <v>59</v>
      </c>
      <c r="C52" s="24" t="s">
        <v>94</v>
      </c>
      <c r="D52" s="58"/>
      <c r="E52" s="25"/>
      <c r="F52" s="25"/>
      <c r="G52" s="34"/>
      <c r="H52" s="34"/>
      <c r="I52" s="34"/>
      <c r="J52" s="34"/>
      <c r="K52" s="33"/>
      <c r="L52" s="24"/>
    </row>
    <row r="53" hidden="1" outlineLevel="1" spans="1:12">
      <c r="A53" s="2"/>
      <c r="B53" s="79" t="s">
        <v>59</v>
      </c>
      <c r="C53" s="24" t="s">
        <v>95</v>
      </c>
      <c r="D53" s="58"/>
      <c r="E53" s="25"/>
      <c r="F53" s="25"/>
      <c r="G53" s="34"/>
      <c r="H53" s="34"/>
      <c r="I53" s="34"/>
      <c r="J53" s="34"/>
      <c r="K53" s="33"/>
      <c r="L53" s="24"/>
    </row>
    <row r="54" hidden="1" outlineLevel="1" spans="1:12">
      <c r="A54" s="2"/>
      <c r="B54" s="21"/>
      <c r="C54" s="24"/>
      <c r="D54" s="58"/>
      <c r="E54" s="25"/>
      <c r="F54" s="25"/>
      <c r="G54" s="34"/>
      <c r="H54" s="34"/>
      <c r="I54" s="34"/>
      <c r="J54" s="34"/>
      <c r="K54" s="33"/>
      <c r="L54" s="24"/>
    </row>
    <row r="55" hidden="1" outlineLevel="1" spans="1:12">
      <c r="A55" s="2"/>
      <c r="B55" s="21">
        <v>3</v>
      </c>
      <c r="C55" s="24" t="s">
        <v>96</v>
      </c>
      <c r="D55" s="58"/>
      <c r="E55" s="25"/>
      <c r="F55" s="25"/>
      <c r="G55" s="34"/>
      <c r="H55" s="34"/>
      <c r="I55" s="34"/>
      <c r="J55" s="34"/>
      <c r="K55" s="33"/>
      <c r="L55" s="24"/>
    </row>
    <row r="56" hidden="1" outlineLevel="1" spans="1:12">
      <c r="A56" s="2"/>
      <c r="B56" s="79" t="s">
        <v>59</v>
      </c>
      <c r="C56" s="24" t="s">
        <v>82</v>
      </c>
      <c r="D56" s="58"/>
      <c r="E56" s="25"/>
      <c r="F56" s="25"/>
      <c r="G56" s="34"/>
      <c r="H56" s="34"/>
      <c r="I56" s="34"/>
      <c r="J56" s="34"/>
      <c r="K56" s="33"/>
      <c r="L56" s="24"/>
    </row>
    <row r="57" hidden="1" outlineLevel="1" spans="1:12">
      <c r="A57" s="2"/>
      <c r="B57" s="79" t="s">
        <v>59</v>
      </c>
      <c r="C57" s="24" t="s">
        <v>95</v>
      </c>
      <c r="D57" s="58"/>
      <c r="E57" s="25"/>
      <c r="F57" s="25"/>
      <c r="G57" s="34"/>
      <c r="H57" s="34"/>
      <c r="I57" s="34"/>
      <c r="J57" s="34"/>
      <c r="K57" s="33"/>
      <c r="L57" s="24"/>
    </row>
    <row r="58" hidden="1" outlineLevel="1" spans="1:12">
      <c r="A58" s="2"/>
      <c r="B58" s="79" t="s">
        <v>59</v>
      </c>
      <c r="C58" s="24" t="s">
        <v>97</v>
      </c>
      <c r="D58" s="58"/>
      <c r="E58" s="25"/>
      <c r="F58" s="25"/>
      <c r="G58" s="34"/>
      <c r="H58" s="34"/>
      <c r="I58" s="34"/>
      <c r="J58" s="34"/>
      <c r="K58" s="33"/>
      <c r="L58" s="24"/>
    </row>
    <row r="59" hidden="1" outlineLevel="1" spans="1:12">
      <c r="A59" s="2"/>
      <c r="B59" s="21"/>
      <c r="C59" s="24"/>
      <c r="D59" s="58"/>
      <c r="E59" s="25"/>
      <c r="F59" s="25"/>
      <c r="G59" s="34"/>
      <c r="H59" s="34"/>
      <c r="I59" s="34"/>
      <c r="J59" s="34"/>
      <c r="K59" s="33"/>
      <c r="L59" s="24"/>
    </row>
    <row r="60" s="1" customFormat="1" collapsed="1" spans="1:12">
      <c r="A60" s="14"/>
      <c r="B60" s="17" t="s">
        <v>98</v>
      </c>
      <c r="C60" s="18" t="s">
        <v>99</v>
      </c>
      <c r="D60" s="56"/>
      <c r="E60" s="19">
        <f>SUM(E61:E64)</f>
        <v>0.15</v>
      </c>
      <c r="F60" s="19"/>
      <c r="G60" s="31">
        <f t="shared" ref="G60:K60" si="12">SUM(G61:G64)</f>
        <v>11</v>
      </c>
      <c r="H60" s="31">
        <f t="shared" si="12"/>
        <v>12</v>
      </c>
      <c r="I60" s="31" t="e">
        <f t="shared" si="12"/>
        <v>#REF!</v>
      </c>
      <c r="J60" s="31" t="e">
        <f t="shared" si="12"/>
        <v>#REF!</v>
      </c>
      <c r="K60" s="31" t="e">
        <f t="shared" si="12"/>
        <v>#REF!</v>
      </c>
      <c r="L60" s="18"/>
    </row>
    <row r="61" s="51" customFormat="1" ht="30" customHeight="1" spans="1:12">
      <c r="A61" s="20" t="s">
        <v>100</v>
      </c>
      <c r="B61" s="78" t="s">
        <v>59</v>
      </c>
      <c r="C61" s="22" t="str">
        <f>VLOOKUP($A61,PERTANYAAN!$A$18:$E$71,3,0)</f>
        <v>Antusiasme / Keinginan bergabung</v>
      </c>
      <c r="D61" s="22" t="str">
        <f>VLOOKUP($A61,PERTANYAAN!$A$18:$E$71,4,0)</f>
        <v>Apa yang anda pikirkan setelah mendengar / mengetahui Daniswara membutuhkan personil baru di posisi ini?</v>
      </c>
      <c r="E61" s="23">
        <f>VLOOKUP($A61,PERTANYAAN!$A$18:$E$71,5,0)</f>
        <v>0.075</v>
      </c>
      <c r="F61" s="23"/>
      <c r="G61" s="63">
        <f>+'PENILAIAN-HR'!M61</f>
        <v>6</v>
      </c>
      <c r="H61" s="63">
        <f>+'PENILAIAN-ILHAM'!M61</f>
        <v>6</v>
      </c>
      <c r="I61" s="63" t="e">
        <f>+#REF!</f>
        <v>#REF!</v>
      </c>
      <c r="J61" s="63" t="e">
        <f>+#REF!</f>
        <v>#REF!</v>
      </c>
      <c r="K61" s="65" t="e">
        <f t="shared" ref="K61:K63" si="13">AVERAGE(G61:J61)</f>
        <v>#REF!</v>
      </c>
      <c r="L61" s="22"/>
    </row>
    <row r="62" s="51" customFormat="1" ht="30" customHeight="1" spans="1:12">
      <c r="A62" s="20" t="s">
        <v>103</v>
      </c>
      <c r="B62" s="78" t="s">
        <v>59</v>
      </c>
      <c r="C62" s="22" t="str">
        <f>VLOOKUP($A62,PERTANYAAN!$A$18:$E$71,3,0)</f>
        <v>Inisiatif</v>
      </c>
      <c r="D62" s="22" t="str">
        <f>VLOOKUP($A62,PERTANYAAN!$A$18:$E$71,4,0)</f>
        <v>Jika ada hal-hal yang kiranya belum diatur oleh perusahaan atau belum dapat arahan oleh atasan, apa yang biasanya anda lakukan?</v>
      </c>
      <c r="E62" s="23">
        <f>VLOOKUP($A62,PERTANYAAN!$A$18:$E$71,5,0)</f>
        <v>0.05</v>
      </c>
      <c r="F62" s="23"/>
      <c r="G62" s="63">
        <f>+'PENILAIAN-HR'!M62</f>
        <v>3</v>
      </c>
      <c r="H62" s="63">
        <f>+'PENILAIAN-ILHAM'!M62</f>
        <v>4</v>
      </c>
      <c r="I62" s="63" t="e">
        <f>+#REF!</f>
        <v>#REF!</v>
      </c>
      <c r="J62" s="63" t="e">
        <f>+#REF!</f>
        <v>#REF!</v>
      </c>
      <c r="K62" s="65" t="e">
        <f t="shared" si="13"/>
        <v>#REF!</v>
      </c>
      <c r="L62" s="22"/>
    </row>
    <row r="63" s="51" customFormat="1" ht="28.5" spans="1:12">
      <c r="A63" s="20" t="s">
        <v>106</v>
      </c>
      <c r="B63" s="78" t="s">
        <v>59</v>
      </c>
      <c r="C63" s="22" t="str">
        <f>VLOOKUP($A63,PERTANYAAN!$A$18:$E$71,3,0)</f>
        <v>Adaptif</v>
      </c>
      <c r="D63" s="22" t="str">
        <f>VLOOKUP($A63,PERTANYAAN!$A$18:$E$71,4,0)</f>
        <v>Coba ceritakan pengalaman anda terkait dengan berada dalam lingkungan yang baru / hal yang baru?</v>
      </c>
      <c r="E63" s="23">
        <f>VLOOKUP($A63,PERTANYAAN!$A$18:$E$71,5,0)</f>
        <v>0.025</v>
      </c>
      <c r="F63" s="23"/>
      <c r="G63" s="63">
        <f>+'PENILAIAN-HR'!M63</f>
        <v>2</v>
      </c>
      <c r="H63" s="63">
        <f>+'PENILAIAN-ILHAM'!M63</f>
        <v>2</v>
      </c>
      <c r="I63" s="63" t="e">
        <f>+#REF!</f>
        <v>#REF!</v>
      </c>
      <c r="J63" s="63" t="e">
        <f>+#REF!</f>
        <v>#REF!</v>
      </c>
      <c r="K63" s="65" t="e">
        <f t="shared" si="13"/>
        <v>#REF!</v>
      </c>
      <c r="L63" s="22"/>
    </row>
    <row r="64" spans="1:12">
      <c r="A64" s="2"/>
      <c r="B64" s="21"/>
      <c r="C64" s="24"/>
      <c r="D64" s="58"/>
      <c r="E64" s="25"/>
      <c r="F64" s="25"/>
      <c r="G64" s="34"/>
      <c r="H64" s="34"/>
      <c r="I64" s="34"/>
      <c r="J64" s="34"/>
      <c r="K64" s="33"/>
      <c r="L64" s="24"/>
    </row>
    <row r="65" s="1" customFormat="1" spans="1:12">
      <c r="A65" s="14"/>
      <c r="B65" s="17" t="s">
        <v>109</v>
      </c>
      <c r="C65" s="18" t="s">
        <v>110</v>
      </c>
      <c r="D65" s="56"/>
      <c r="E65" s="19">
        <f>SUM(E66:E68)</f>
        <v>0.05</v>
      </c>
      <c r="F65" s="19"/>
      <c r="G65" s="31">
        <f t="shared" ref="G65:K65" si="14">SUM(G66:G68)</f>
        <v>3.8</v>
      </c>
      <c r="H65" s="31">
        <f t="shared" si="14"/>
        <v>2.2</v>
      </c>
      <c r="I65" s="31" t="e">
        <f t="shared" si="14"/>
        <v>#REF!</v>
      </c>
      <c r="J65" s="31" t="e">
        <f t="shared" si="14"/>
        <v>#REF!</v>
      </c>
      <c r="K65" s="31" t="e">
        <f t="shared" si="14"/>
        <v>#REF!</v>
      </c>
      <c r="L65" s="18"/>
    </row>
    <row r="66" s="51" customFormat="1" ht="30" customHeight="1" spans="1:12">
      <c r="A66" s="20" t="s">
        <v>111</v>
      </c>
      <c r="B66" s="78" t="s">
        <v>59</v>
      </c>
      <c r="C66" s="22" t="str">
        <f>VLOOKUP($A66,PERTANYAAN!$A$18:$E$71,3,0)</f>
        <v>Ekspektasi Salary (Mengukur Budget &amp; Skill)</v>
      </c>
      <c r="D66" s="22" t="str">
        <f>VLOOKUP($A66,PERTANYAAN!$A$18:$E$71,4,0)</f>
        <v>Menurut anda, berapa ekspektasi salary/gaji yang anda inginkan? Bagaimana jika perusahaan belum memenuhinya?</v>
      </c>
      <c r="E66" s="23">
        <f>VLOOKUP($A66,PERTANYAAN!$A$18:$E$71,5,0)</f>
        <v>0.04</v>
      </c>
      <c r="F66" s="23"/>
      <c r="G66" s="63">
        <f>+'PENILAIAN-HR'!M66</f>
        <v>3.2</v>
      </c>
      <c r="H66" s="63">
        <f>+'PENILAIAN-ILHAM'!M66</f>
        <v>1.6</v>
      </c>
      <c r="I66" s="63" t="e">
        <f>+#REF!</f>
        <v>#REF!</v>
      </c>
      <c r="J66" s="63" t="e">
        <f>+#REF!</f>
        <v>#REF!</v>
      </c>
      <c r="K66" s="65" t="e">
        <f t="shared" ref="K66:K67" si="15">AVERAGE(G66:J66)</f>
        <v>#REF!</v>
      </c>
      <c r="L66" s="22"/>
    </row>
    <row r="67" s="51" customFormat="1" ht="30" customHeight="1" spans="1:12">
      <c r="A67" s="20" t="s">
        <v>114</v>
      </c>
      <c r="B67" s="78" t="s">
        <v>59</v>
      </c>
      <c r="C67" s="22" t="str">
        <f>VLOOKUP($A67,PERTANYAAN!$A$18:$E$71,3,0)</f>
        <v>Tujuan Karir</v>
      </c>
      <c r="D67" s="22" t="str">
        <f>VLOOKUP($A67,PERTANYAAN!$A$18:$E$71,4,0)</f>
        <v>Sejauh yang anda tahu tentang Daniswara, apa tujuan anda berkarir/berkarya bersama Daniswara? Apa ada target posisi yang anda inginkan?</v>
      </c>
      <c r="E67" s="23">
        <f>VLOOKUP($A67,PERTANYAAN!$A$18:$E$71,5,0)</f>
        <v>0.01</v>
      </c>
      <c r="F67" s="23"/>
      <c r="G67" s="63">
        <f>+'PENILAIAN-HR'!M67</f>
        <v>0.6</v>
      </c>
      <c r="H67" s="63">
        <f>+'PENILAIAN-ILHAM'!M67</f>
        <v>0.6</v>
      </c>
      <c r="I67" s="63" t="e">
        <f>+#REF!</f>
        <v>#REF!</v>
      </c>
      <c r="J67" s="63" t="e">
        <f>+#REF!</f>
        <v>#REF!</v>
      </c>
      <c r="K67" s="65" t="e">
        <f t="shared" si="15"/>
        <v>#REF!</v>
      </c>
      <c r="L67" s="22"/>
    </row>
    <row r="68" s="51" customFormat="1" spans="1:12">
      <c r="A68" s="20"/>
      <c r="B68" s="57"/>
      <c r="C68" s="22"/>
      <c r="D68" s="66"/>
      <c r="E68" s="23"/>
      <c r="F68" s="23"/>
      <c r="G68" s="57"/>
      <c r="H68" s="57"/>
      <c r="I68" s="57"/>
      <c r="J68" s="57"/>
      <c r="K68" s="65"/>
      <c r="L68" s="22"/>
    </row>
    <row r="69" s="1" customFormat="1" spans="1:12">
      <c r="A69" s="14"/>
      <c r="B69" s="17" t="s">
        <v>117</v>
      </c>
      <c r="C69" s="18" t="s">
        <v>118</v>
      </c>
      <c r="D69" s="56"/>
      <c r="E69" s="19">
        <f>SUM(E70:E70)</f>
        <v>0.05</v>
      </c>
      <c r="F69" s="19"/>
      <c r="G69" s="31">
        <f t="shared" ref="G69:K69" si="16">SUM(G70)</f>
        <v>4</v>
      </c>
      <c r="H69" s="31">
        <f t="shared" si="16"/>
        <v>4</v>
      </c>
      <c r="I69" s="31" t="e">
        <f t="shared" si="16"/>
        <v>#REF!</v>
      </c>
      <c r="J69" s="31" t="e">
        <f t="shared" si="16"/>
        <v>#REF!</v>
      </c>
      <c r="K69" s="31" t="e">
        <f t="shared" si="16"/>
        <v>#REF!</v>
      </c>
      <c r="L69" s="18"/>
    </row>
    <row r="70" s="51" customFormat="1" ht="30" customHeight="1" spans="1:12">
      <c r="A70" s="20" t="s">
        <v>119</v>
      </c>
      <c r="B70" s="78" t="s">
        <v>59</v>
      </c>
      <c r="C70" s="22" t="str">
        <f>VLOOKUP($A70,PERTANYAAN!$A$18:$E$71,3,0)</f>
        <v>Pertanyaan Spesifik User</v>
      </c>
      <c r="D70" s="22" t="str">
        <f>VLOOKUP($A70,PERTANYAAN!$A$18:$E$71,4,0)</f>
        <v>Di karenakan ini 1 team dan berkumpul bersama 1 atap ( mess dan kantor ), bagaimana jika ada perselisihan?</v>
      </c>
      <c r="E70" s="23">
        <f>VLOOKUP($A70,PERTANYAAN!$A$18:$E$71,5,0)</f>
        <v>0.05</v>
      </c>
      <c r="F70" s="23"/>
      <c r="G70" s="63">
        <f>+'PENILAIAN-HR'!M70</f>
        <v>4</v>
      </c>
      <c r="H70" s="63">
        <f>+'PENILAIAN-ILHAM'!M70</f>
        <v>4</v>
      </c>
      <c r="I70" s="63" t="e">
        <f>+#REF!</f>
        <v>#REF!</v>
      </c>
      <c r="J70" s="63" t="e">
        <f>+#REF!</f>
        <v>#REF!</v>
      </c>
      <c r="K70" s="65" t="e">
        <f t="shared" ref="K70" si="17">AVERAGE(G70:J70)</f>
        <v>#REF!</v>
      </c>
      <c r="L70" s="22"/>
    </row>
    <row r="71" spans="2:12">
      <c r="B71" s="43"/>
      <c r="C71" s="44"/>
      <c r="D71" s="67"/>
      <c r="E71" s="45"/>
      <c r="F71" s="45"/>
      <c r="G71" s="47"/>
      <c r="H71" s="47"/>
      <c r="I71" s="47"/>
      <c r="J71" s="47"/>
      <c r="K71" s="46"/>
      <c r="L71" s="44"/>
    </row>
    <row r="73" spans="7:7">
      <c r="G73" s="48" t="s">
        <v>23</v>
      </c>
    </row>
    <row r="74" spans="7:10">
      <c r="G74" s="5" t="s">
        <v>26</v>
      </c>
      <c r="H74" s="5" t="s">
        <v>3</v>
      </c>
      <c r="I74" s="49" t="s">
        <v>122</v>
      </c>
      <c r="J74" s="49"/>
    </row>
    <row r="75" spans="7:10">
      <c r="G75" s="5" t="s">
        <v>27</v>
      </c>
      <c r="H75" s="5" t="s">
        <v>3</v>
      </c>
      <c r="I75" s="49" t="s">
        <v>123</v>
      </c>
      <c r="J75" s="49"/>
    </row>
    <row r="76" spans="7:10">
      <c r="G76" s="5" t="s">
        <v>28</v>
      </c>
      <c r="H76" s="5" t="s">
        <v>3</v>
      </c>
      <c r="I76" s="49" t="s">
        <v>124</v>
      </c>
      <c r="J76" s="49"/>
    </row>
    <row r="77" spans="7:10">
      <c r="G77" s="5" t="s">
        <v>29</v>
      </c>
      <c r="H77" s="5" t="s">
        <v>3</v>
      </c>
      <c r="I77" s="49" t="s">
        <v>125</v>
      </c>
      <c r="J77" s="49"/>
    </row>
    <row r="78" spans="7:10">
      <c r="G78" s="5" t="s">
        <v>30</v>
      </c>
      <c r="H78" s="5" t="s">
        <v>3</v>
      </c>
      <c r="I78" s="49" t="s">
        <v>126</v>
      </c>
      <c r="J78" s="49"/>
    </row>
  </sheetData>
  <mergeCells count="8">
    <mergeCell ref="G13:J13"/>
    <mergeCell ref="A13:A14"/>
    <mergeCell ref="B13:B14"/>
    <mergeCell ref="C13:C14"/>
    <mergeCell ref="D13:D14"/>
    <mergeCell ref="E13:E14"/>
    <mergeCell ref="K13:K14"/>
    <mergeCell ref="L13:L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N78"/>
  <sheetViews>
    <sheetView zoomScale="55" zoomScaleNormal="55" workbookViewId="0">
      <pane xSplit="1" ySplit="14" topLeftCell="B44" activePane="bottomRight" state="frozen"/>
      <selection/>
      <selection pane="topRight"/>
      <selection pane="bottomLeft"/>
      <selection pane="bottomRight" activeCell="M16" sqref="M16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9.14159292035398" style="3"/>
    <col min="5" max="5" width="1.70796460176991" style="3" customWidth="1"/>
    <col min="6" max="7" width="9.14159292035398" style="4"/>
    <col min="8" max="12" width="9.14159292035398" style="5"/>
    <col min="13" max="13" width="9.14159292035398" style="4"/>
    <col min="14" max="14" width="16.858407079646" customWidth="1"/>
  </cols>
  <sheetData>
    <row r="1" spans="1:1">
      <c r="A1" s="1" t="s">
        <v>0</v>
      </c>
    </row>
    <row r="2" spans="1:1">
      <c r="A2" s="1" t="s">
        <v>1</v>
      </c>
    </row>
    <row r="5" spans="1:14">
      <c r="A5" s="1" t="s">
        <v>2</v>
      </c>
      <c r="B5" s="2" t="s">
        <v>3</v>
      </c>
      <c r="C5" s="1" t="s">
        <v>134</v>
      </c>
      <c r="L5" s="48" t="s">
        <v>23</v>
      </c>
      <c r="M5" s="5"/>
      <c r="N5" s="5"/>
    </row>
    <row r="6" spans="1:14">
      <c r="A6" s="1" t="s">
        <v>4</v>
      </c>
      <c r="B6" s="2" t="s">
        <v>3</v>
      </c>
      <c r="C6" t="s">
        <v>5</v>
      </c>
      <c r="L6" s="5" t="s">
        <v>26</v>
      </c>
      <c r="M6" s="5" t="s">
        <v>3</v>
      </c>
      <c r="N6" s="49" t="s">
        <v>122</v>
      </c>
    </row>
    <row r="7" spans="1:14">
      <c r="A7" s="1" t="s">
        <v>6</v>
      </c>
      <c r="B7" s="2" t="s">
        <v>3</v>
      </c>
      <c r="C7" t="s">
        <v>7</v>
      </c>
      <c r="L7" s="5" t="s">
        <v>27</v>
      </c>
      <c r="M7" s="5" t="s">
        <v>3</v>
      </c>
      <c r="N7" s="49" t="s">
        <v>123</v>
      </c>
    </row>
    <row r="8" spans="1:14">
      <c r="A8" s="1" t="s">
        <v>8</v>
      </c>
      <c r="B8" s="2" t="s">
        <v>3</v>
      </c>
      <c r="C8" t="s">
        <v>9</v>
      </c>
      <c r="L8" s="5" t="s">
        <v>28</v>
      </c>
      <c r="M8" s="5" t="s">
        <v>3</v>
      </c>
      <c r="N8" s="49" t="s">
        <v>124</v>
      </c>
    </row>
    <row r="9" spans="1:14">
      <c r="A9" s="1" t="s">
        <v>10</v>
      </c>
      <c r="B9" s="2" t="s">
        <v>3</v>
      </c>
      <c r="C9" t="s">
        <v>11</v>
      </c>
      <c r="L9" s="5" t="s">
        <v>29</v>
      </c>
      <c r="M9" s="5" t="s">
        <v>3</v>
      </c>
      <c r="N9" s="49" t="s">
        <v>125</v>
      </c>
    </row>
    <row r="10" spans="1:14">
      <c r="A10" s="1" t="s">
        <v>142</v>
      </c>
      <c r="B10" s="2" t="s">
        <v>3</v>
      </c>
      <c r="C10" s="1" t="s">
        <v>13</v>
      </c>
      <c r="D10" s="6" t="s">
        <v>143</v>
      </c>
      <c r="L10" s="5" t="s">
        <v>30</v>
      </c>
      <c r="M10" s="5" t="s">
        <v>3</v>
      </c>
      <c r="N10" s="49" t="s">
        <v>126</v>
      </c>
    </row>
    <row r="11" spans="1:3">
      <c r="A11" s="1" t="s">
        <v>14</v>
      </c>
      <c r="B11" s="2" t="s">
        <v>3</v>
      </c>
      <c r="C11" s="7">
        <f>M16</f>
        <v>70.8</v>
      </c>
    </row>
    <row r="13" s="1" customFormat="1" spans="1:14">
      <c r="A13" s="8" t="s">
        <v>15</v>
      </c>
      <c r="B13" s="9" t="s">
        <v>16</v>
      </c>
      <c r="C13" s="9" t="s">
        <v>17</v>
      </c>
      <c r="D13" s="10" t="s">
        <v>19</v>
      </c>
      <c r="E13" s="10"/>
      <c r="F13" s="26" t="s">
        <v>20</v>
      </c>
      <c r="G13" s="26"/>
      <c r="H13" s="9" t="s">
        <v>21</v>
      </c>
      <c r="I13" s="9"/>
      <c r="J13" s="9"/>
      <c r="K13" s="9"/>
      <c r="L13" s="9"/>
      <c r="M13" s="26" t="s">
        <v>22</v>
      </c>
      <c r="N13" s="38" t="s">
        <v>23</v>
      </c>
    </row>
    <row r="14" s="1" customFormat="1" spans="1:14">
      <c r="A14" s="8"/>
      <c r="B14" s="9"/>
      <c r="C14" s="11"/>
      <c r="D14" s="12"/>
      <c r="E14" s="12"/>
      <c r="F14" s="26" t="s">
        <v>24</v>
      </c>
      <c r="G14" s="26" t="s">
        <v>25</v>
      </c>
      <c r="H14" s="9" t="s">
        <v>26</v>
      </c>
      <c r="I14" s="9" t="s">
        <v>27</v>
      </c>
      <c r="J14" s="9" t="s">
        <v>28</v>
      </c>
      <c r="K14" s="9" t="s">
        <v>29</v>
      </c>
      <c r="L14" s="9" t="s">
        <v>30</v>
      </c>
      <c r="M14" s="26"/>
      <c r="N14" s="38"/>
    </row>
    <row r="15" s="1" customFormat="1" spans="2:14">
      <c r="B15" s="13"/>
      <c r="C15" s="13"/>
      <c r="D15" s="13"/>
      <c r="E15" s="27"/>
      <c r="F15" s="28"/>
      <c r="G15" s="28"/>
      <c r="H15" s="29">
        <v>0.2</v>
      </c>
      <c r="I15" s="29">
        <v>0.4</v>
      </c>
      <c r="J15" s="29">
        <v>0.6</v>
      </c>
      <c r="K15" s="29">
        <v>0.8</v>
      </c>
      <c r="L15" s="29">
        <v>1</v>
      </c>
      <c r="M15" s="28"/>
      <c r="N15" s="39"/>
    </row>
    <row r="16" s="1" customFormat="1" spans="1:14">
      <c r="A16" s="14"/>
      <c r="B16" s="15"/>
      <c r="C16" s="16" t="s">
        <v>31</v>
      </c>
      <c r="D16" s="15"/>
      <c r="E16" s="15"/>
      <c r="F16" s="30"/>
      <c r="G16" s="30"/>
      <c r="H16" s="15"/>
      <c r="I16" s="15"/>
      <c r="J16" s="15"/>
      <c r="K16" s="15"/>
      <c r="L16" s="15"/>
      <c r="M16" s="40">
        <f>M17+M21+M27+M43+M60+M65+M69</f>
        <v>70.8</v>
      </c>
      <c r="N16" s="41"/>
    </row>
    <row r="17" spans="2:14">
      <c r="B17" s="17" t="s">
        <v>32</v>
      </c>
      <c r="C17" s="18" t="s">
        <v>144</v>
      </c>
      <c r="D17" s="19">
        <f>SUM(D18:D19)</f>
        <v>0.1</v>
      </c>
      <c r="E17" s="19"/>
      <c r="F17" s="31"/>
      <c r="G17" s="31"/>
      <c r="H17" s="32"/>
      <c r="I17" s="32"/>
      <c r="J17" s="32"/>
      <c r="K17" s="32"/>
      <c r="L17" s="32"/>
      <c r="M17" s="31">
        <f>SUM(M18:M20)</f>
        <v>6</v>
      </c>
      <c r="N17" s="42"/>
    </row>
    <row r="18" spans="1:14">
      <c r="A18" s="20" t="s">
        <v>34</v>
      </c>
      <c r="B18" s="21">
        <v>1</v>
      </c>
      <c r="C18" s="22" t="str">
        <f>VLOOKUP($A18,PERTANYAAN!$A$18:$E$71,3,0)</f>
        <v>Pengalaman di dalam Daniswara Group</v>
      </c>
      <c r="D18" s="23">
        <f>VLOOKUP($A18,PERTANYAAN!$A$18:$E$71,5,0)</f>
        <v>0.06</v>
      </c>
      <c r="E18" s="25"/>
      <c r="F18" s="33" t="s">
        <v>37</v>
      </c>
      <c r="G18" s="33"/>
      <c r="H18" s="34"/>
      <c r="I18" s="34"/>
      <c r="J18" s="34"/>
      <c r="K18" s="34"/>
      <c r="L18" s="34"/>
      <c r="M18" s="33">
        <f>IF(F18="V",D18*100,0)</f>
        <v>6</v>
      </c>
      <c r="N18" s="24"/>
    </row>
    <row r="19" spans="1:14">
      <c r="A19" s="20" t="s">
        <v>38</v>
      </c>
      <c r="B19" s="21">
        <f>B18+1</f>
        <v>2</v>
      </c>
      <c r="C19" s="22" t="str">
        <f>VLOOKUP($A19,PERTANYAAN!$A$18:$E$71,3,0)</f>
        <v>Pengalaman di luar Daniswara Group</v>
      </c>
      <c r="D19" s="23">
        <f>VLOOKUP($A19,PERTANYAAN!$A$18:$E$71,5,0)</f>
        <v>0.04</v>
      </c>
      <c r="E19" s="25"/>
      <c r="F19" s="33"/>
      <c r="G19" s="33" t="s">
        <v>37</v>
      </c>
      <c r="H19" s="34"/>
      <c r="I19" s="34"/>
      <c r="J19" s="34"/>
      <c r="K19" s="34"/>
      <c r="L19" s="34"/>
      <c r="M19" s="33">
        <f>IF(F19="V",D19*100,0)</f>
        <v>0</v>
      </c>
      <c r="N19" s="24"/>
    </row>
    <row r="20" spans="1:14">
      <c r="A20" s="2"/>
      <c r="B20" s="21"/>
      <c r="C20" s="24"/>
      <c r="D20" s="25"/>
      <c r="E20" s="25"/>
      <c r="F20" s="33"/>
      <c r="G20" s="33"/>
      <c r="H20" s="34"/>
      <c r="I20" s="34"/>
      <c r="J20" s="34"/>
      <c r="K20" s="34"/>
      <c r="L20" s="34"/>
      <c r="M20" s="33"/>
      <c r="N20" s="24"/>
    </row>
    <row r="21" spans="1:14">
      <c r="A21" s="2"/>
      <c r="B21" s="17" t="s">
        <v>29</v>
      </c>
      <c r="C21" s="18" t="s">
        <v>41</v>
      </c>
      <c r="D21" s="19">
        <f>SUM(D22:D25)</f>
        <v>0.05</v>
      </c>
      <c r="E21" s="19"/>
      <c r="F21" s="31"/>
      <c r="G21" s="31"/>
      <c r="H21" s="32"/>
      <c r="I21" s="32"/>
      <c r="J21" s="32"/>
      <c r="K21" s="32"/>
      <c r="L21" s="32"/>
      <c r="M21" s="31">
        <f>SUM(M22:M25)</f>
        <v>5</v>
      </c>
      <c r="N21" s="42"/>
    </row>
    <row r="22" spans="1:14">
      <c r="A22" s="20" t="s">
        <v>42</v>
      </c>
      <c r="B22" s="21">
        <v>1</v>
      </c>
      <c r="C22" s="22" t="str">
        <f>VLOOKUP($A22,PERTANYAAN!$A$18:$E$71,3,0)</f>
        <v>Identitas (KTP &amp; KK)</v>
      </c>
      <c r="D22" s="23">
        <f>VLOOKUP($A22,PERTANYAAN!$A$18:$E$71,5,0)</f>
        <v>0.01</v>
      </c>
      <c r="E22" s="25"/>
      <c r="F22" s="33" t="s">
        <v>37</v>
      </c>
      <c r="G22" s="33"/>
      <c r="H22" s="34"/>
      <c r="I22" s="34"/>
      <c r="J22" s="34"/>
      <c r="K22" s="34"/>
      <c r="L22" s="34"/>
      <c r="M22" s="33">
        <f>IF(F22="V",D22*100,0)</f>
        <v>1</v>
      </c>
      <c r="N22" s="24"/>
    </row>
    <row r="23" spans="1:14">
      <c r="A23" s="20" t="s">
        <v>45</v>
      </c>
      <c r="B23" s="21">
        <f>B22+1</f>
        <v>2</v>
      </c>
      <c r="C23" s="22" t="str">
        <f>VLOOKUP($A23,PERTANYAAN!$A$18:$E$71,3,0)</f>
        <v>SIM A (utk jabatan di Divisi Operasi)</v>
      </c>
      <c r="D23" s="23">
        <f>VLOOKUP($A23,PERTANYAAN!$A$18:$E$71,5,0)</f>
        <v>0.02</v>
      </c>
      <c r="E23" s="25"/>
      <c r="F23" s="33" t="s">
        <v>37</v>
      </c>
      <c r="G23" s="33"/>
      <c r="H23" s="34"/>
      <c r="I23" s="34"/>
      <c r="J23" s="34"/>
      <c r="K23" s="34"/>
      <c r="L23" s="34"/>
      <c r="M23" s="33">
        <f>IF(F23="V",D23*100,0)</f>
        <v>2</v>
      </c>
      <c r="N23" s="24"/>
    </row>
    <row r="24" spans="1:14">
      <c r="A24" s="20" t="s">
        <v>48</v>
      </c>
      <c r="B24" s="21">
        <f t="shared" ref="B24:B25" si="0">B23+1</f>
        <v>3</v>
      </c>
      <c r="C24" s="22" t="str">
        <f>VLOOKUP($A24,PERTANYAAN!$A$18:$E$71,3,0)</f>
        <v>SIM C</v>
      </c>
      <c r="D24" s="23">
        <f>VLOOKUP($A24,PERTANYAAN!$A$18:$E$71,5,0)</f>
        <v>0.01</v>
      </c>
      <c r="E24" s="25"/>
      <c r="F24" s="33" t="s">
        <v>37</v>
      </c>
      <c r="G24" s="33"/>
      <c r="H24" s="34"/>
      <c r="I24" s="34"/>
      <c r="J24" s="34"/>
      <c r="K24" s="34"/>
      <c r="L24" s="34"/>
      <c r="M24" s="33">
        <f>IF(F24="V",D24*100,0)</f>
        <v>1</v>
      </c>
      <c r="N24" s="24"/>
    </row>
    <row r="25" spans="1:14">
      <c r="A25" s="20" t="s">
        <v>51</v>
      </c>
      <c r="B25" s="21">
        <f t="shared" si="0"/>
        <v>4</v>
      </c>
      <c r="C25" s="22" t="str">
        <f>VLOOKUP($A25,PERTANYAAN!$A$18:$E$71,3,0)</f>
        <v>NPWP</v>
      </c>
      <c r="D25" s="23">
        <f>VLOOKUP($A25,PERTANYAAN!$A$18:$E$71,5,0)</f>
        <v>0.01</v>
      </c>
      <c r="E25" s="25"/>
      <c r="F25" s="33" t="s">
        <v>37</v>
      </c>
      <c r="G25" s="33"/>
      <c r="H25" s="34"/>
      <c r="I25" s="34"/>
      <c r="J25" s="34"/>
      <c r="K25" s="34"/>
      <c r="L25" s="34"/>
      <c r="M25" s="33">
        <f>IF(F25="V",D25*100,0)</f>
        <v>1</v>
      </c>
      <c r="N25" s="24"/>
    </row>
    <row r="26" spans="1:14">
      <c r="A26" s="2"/>
      <c r="B26" s="21"/>
      <c r="C26" s="24"/>
      <c r="D26" s="25"/>
      <c r="E26" s="25"/>
      <c r="F26" s="33"/>
      <c r="G26" s="33"/>
      <c r="H26" s="34"/>
      <c r="I26" s="34"/>
      <c r="J26" s="34"/>
      <c r="K26" s="34"/>
      <c r="L26" s="34"/>
      <c r="M26" s="33"/>
      <c r="N26" s="24"/>
    </row>
    <row r="27" spans="1:14">
      <c r="A27" s="2"/>
      <c r="B27" s="17" t="s">
        <v>54</v>
      </c>
      <c r="C27" s="18" t="s">
        <v>55</v>
      </c>
      <c r="D27" s="19">
        <f>D28</f>
        <v>0.35</v>
      </c>
      <c r="E27" s="35"/>
      <c r="F27" s="36"/>
      <c r="G27" s="36"/>
      <c r="H27" s="32"/>
      <c r="I27" s="32"/>
      <c r="J27" s="32"/>
      <c r="K27" s="32"/>
      <c r="L27" s="32"/>
      <c r="M27" s="31">
        <f>M28</f>
        <v>23</v>
      </c>
      <c r="N27" s="42"/>
    </row>
    <row r="28" spans="1:14">
      <c r="A28" s="20" t="s">
        <v>56</v>
      </c>
      <c r="B28" s="21">
        <v>1</v>
      </c>
      <c r="C28" s="22" t="str">
        <f>VLOOKUP($A28,PERTANYAAN!$A$18:$E$71,3,0)</f>
        <v>Operasi / Logistik</v>
      </c>
      <c r="D28" s="23">
        <f>VLOOKUP($A28,PERTANYAAN!$A$18:$E$71,5,0)</f>
        <v>0.35</v>
      </c>
      <c r="E28" s="25"/>
      <c r="F28" s="33"/>
      <c r="G28" s="33"/>
      <c r="H28" s="34"/>
      <c r="I28" s="34"/>
      <c r="J28" s="34"/>
      <c r="K28" s="34"/>
      <c r="L28" s="34"/>
      <c r="M28" s="33">
        <f>SUM(M29:M33)</f>
        <v>23</v>
      </c>
      <c r="N28" s="24"/>
    </row>
    <row r="29" spans="1:14">
      <c r="A29" s="20" t="s">
        <v>58</v>
      </c>
      <c r="B29" s="79" t="s">
        <v>59</v>
      </c>
      <c r="C29" s="22" t="str">
        <f>VLOOKUP($A29,PERTANYAAN!$A$18:$E$71,3,0)</f>
        <v>Skill Mengemudi</v>
      </c>
      <c r="D29" s="23">
        <f>VLOOKUP($A29,PERTANYAAN!$A$18:$E$71,5,0)</f>
        <v>0.15</v>
      </c>
      <c r="E29" s="25"/>
      <c r="F29" s="33"/>
      <c r="G29" s="33"/>
      <c r="H29" s="34"/>
      <c r="I29" s="34"/>
      <c r="J29" s="34"/>
      <c r="K29" s="34" t="s">
        <v>37</v>
      </c>
      <c r="L29" s="34"/>
      <c r="M29" s="33">
        <f>IF(H29="V",$D29*H$15,IF(I29="V",$D29*I$15,IF(J29="V",$D29*J$15,IF(K29="V",$D29*K$15,IF(L29="V",$D29*L$15,0)))))*100</f>
        <v>12</v>
      </c>
      <c r="N29" s="24"/>
    </row>
    <row r="30" spans="1:14">
      <c r="A30" s="20" t="s">
        <v>62</v>
      </c>
      <c r="B30" s="79" t="s">
        <v>59</v>
      </c>
      <c r="C30" s="22" t="str">
        <f>VLOOKUP($A30,PERTANYAAN!$A$18:$E$71,3,0)</f>
        <v>Flow Administrasi Logistik</v>
      </c>
      <c r="D30" s="23">
        <f>VLOOKUP($A30,PERTANYAAN!$A$18:$E$71,5,0)</f>
        <v>0.1</v>
      </c>
      <c r="E30" s="25"/>
      <c r="F30" s="33"/>
      <c r="G30" s="33"/>
      <c r="H30" s="34"/>
      <c r="I30" s="34"/>
      <c r="J30" s="34" t="s">
        <v>37</v>
      </c>
      <c r="K30" s="34"/>
      <c r="L30" s="34"/>
      <c r="M30" s="33">
        <f t="shared" ref="M30:M32" si="1">IF(H30="V",$D30*H$15,IF(I30="V",$D30*I$15,IF(J30="V",$D30*J$15,IF(K30="V",$D30*K$15,IF(L30="V",$D30*L$15,0)))))*100</f>
        <v>6</v>
      </c>
      <c r="N30" s="24"/>
    </row>
    <row r="31" spans="1:14">
      <c r="A31" s="20" t="s">
        <v>65</v>
      </c>
      <c r="B31" s="79" t="s">
        <v>59</v>
      </c>
      <c r="C31" s="22" t="str">
        <f>VLOOKUP($A31,PERTANYAAN!$A$18:$E$71,3,0)</f>
        <v>Pengetahuan terkait logistik</v>
      </c>
      <c r="D31" s="23">
        <f>VLOOKUP($A31,PERTANYAAN!$A$18:$E$71,5,0)</f>
        <v>0.025</v>
      </c>
      <c r="E31" s="25"/>
      <c r="F31" s="33"/>
      <c r="G31" s="33"/>
      <c r="H31" s="34"/>
      <c r="I31" s="34"/>
      <c r="J31" s="34"/>
      <c r="K31" s="34" t="s">
        <v>37</v>
      </c>
      <c r="L31" s="34"/>
      <c r="M31" s="33">
        <f t="shared" si="1"/>
        <v>2</v>
      </c>
      <c r="N31" s="24"/>
    </row>
    <row r="32" spans="1:14">
      <c r="A32" s="20" t="s">
        <v>68</v>
      </c>
      <c r="B32" s="79" t="s">
        <v>59</v>
      </c>
      <c r="C32" s="22" t="str">
        <f>VLOOKUP($A32,PERTANYAAN!$A$18:$E$71,3,0)</f>
        <v>Pengalaman di Bongkar Muat</v>
      </c>
      <c r="D32" s="23">
        <f>VLOOKUP($A32,PERTANYAAN!$A$18:$E$71,5,0)</f>
        <v>0.075</v>
      </c>
      <c r="E32" s="25"/>
      <c r="F32" s="33"/>
      <c r="G32" s="33"/>
      <c r="H32" s="34"/>
      <c r="I32" s="34" t="s">
        <v>37</v>
      </c>
      <c r="J32" s="34"/>
      <c r="K32" s="34"/>
      <c r="L32" s="34"/>
      <c r="M32" s="33">
        <f t="shared" si="1"/>
        <v>3</v>
      </c>
      <c r="N32" s="24"/>
    </row>
    <row r="33" spans="1:14">
      <c r="A33" s="2"/>
      <c r="B33" s="21"/>
      <c r="C33" s="24"/>
      <c r="D33" s="25"/>
      <c r="E33" s="25"/>
      <c r="F33" s="33"/>
      <c r="G33" s="33"/>
      <c r="H33" s="34"/>
      <c r="I33" s="34"/>
      <c r="J33" s="34"/>
      <c r="K33" s="34"/>
      <c r="L33" s="34"/>
      <c r="M33" s="33"/>
      <c r="N33" s="24"/>
    </row>
    <row r="34" hidden="1" outlineLevel="1" spans="1:14">
      <c r="A34" s="2"/>
      <c r="B34" s="21">
        <f>B28+1</f>
        <v>2</v>
      </c>
      <c r="C34" s="24" t="s">
        <v>71</v>
      </c>
      <c r="D34" s="25">
        <f>SUM(D35:D37)</f>
        <v>0.35</v>
      </c>
      <c r="E34" s="25"/>
      <c r="F34" s="33"/>
      <c r="G34" s="33"/>
      <c r="H34" s="34"/>
      <c r="I34" s="34"/>
      <c r="J34" s="34"/>
      <c r="K34" s="34"/>
      <c r="L34" s="34"/>
      <c r="M34" s="33"/>
      <c r="N34" s="24"/>
    </row>
    <row r="35" hidden="1" outlineLevel="1" spans="1:14">
      <c r="A35" s="2"/>
      <c r="B35" s="79" t="s">
        <v>59</v>
      </c>
      <c r="C35" s="24" t="s">
        <v>72</v>
      </c>
      <c r="D35" s="25">
        <v>0.15</v>
      </c>
      <c r="E35" s="25"/>
      <c r="F35" s="33"/>
      <c r="G35" s="33"/>
      <c r="H35" s="34"/>
      <c r="I35" s="34"/>
      <c r="J35" s="34"/>
      <c r="K35" s="34"/>
      <c r="L35" s="34"/>
      <c r="M35" s="33"/>
      <c r="N35" s="24"/>
    </row>
    <row r="36" hidden="1" outlineLevel="1" spans="1:14">
      <c r="A36" s="2"/>
      <c r="B36" s="79" t="s">
        <v>59</v>
      </c>
      <c r="C36" s="24" t="s">
        <v>73</v>
      </c>
      <c r="D36" s="25">
        <v>0.2</v>
      </c>
      <c r="E36" s="25"/>
      <c r="F36" s="33"/>
      <c r="G36" s="33"/>
      <c r="H36" s="34"/>
      <c r="I36" s="34"/>
      <c r="J36" s="34"/>
      <c r="K36" s="34"/>
      <c r="L36" s="34"/>
      <c r="M36" s="33"/>
      <c r="N36" s="24"/>
    </row>
    <row r="37" hidden="1" outlineLevel="1" spans="1:14">
      <c r="A37" s="2"/>
      <c r="B37" s="21"/>
      <c r="C37" s="24"/>
      <c r="D37" s="25"/>
      <c r="E37" s="25"/>
      <c r="F37" s="33"/>
      <c r="G37" s="33"/>
      <c r="H37" s="34"/>
      <c r="I37" s="34"/>
      <c r="J37" s="34"/>
      <c r="K37" s="34"/>
      <c r="L37" s="34"/>
      <c r="M37" s="33"/>
      <c r="N37" s="24"/>
    </row>
    <row r="38" hidden="1" outlineLevel="1" spans="1:14">
      <c r="A38" s="2"/>
      <c r="B38" s="21">
        <v>3</v>
      </c>
      <c r="C38" s="24" t="s">
        <v>74</v>
      </c>
      <c r="D38" s="25"/>
      <c r="E38" s="25"/>
      <c r="F38" s="33"/>
      <c r="G38" s="33"/>
      <c r="H38" s="34"/>
      <c r="I38" s="34"/>
      <c r="J38" s="34"/>
      <c r="K38" s="34"/>
      <c r="L38" s="34"/>
      <c r="M38" s="33"/>
      <c r="N38" s="24"/>
    </row>
    <row r="39" hidden="1" outlineLevel="1" spans="1:14">
      <c r="A39" s="2"/>
      <c r="B39" s="79" t="s">
        <v>59</v>
      </c>
      <c r="C39" s="24" t="s">
        <v>75</v>
      </c>
      <c r="D39" s="25"/>
      <c r="E39" s="25"/>
      <c r="F39" s="33"/>
      <c r="G39" s="33"/>
      <c r="H39" s="34"/>
      <c r="I39" s="34"/>
      <c r="J39" s="34"/>
      <c r="K39" s="34"/>
      <c r="L39" s="34"/>
      <c r="M39" s="33"/>
      <c r="N39" s="24"/>
    </row>
    <row r="40" hidden="1" outlineLevel="1" spans="1:14">
      <c r="A40" s="2"/>
      <c r="B40" s="79" t="s">
        <v>59</v>
      </c>
      <c r="C40" s="24" t="s">
        <v>76</v>
      </c>
      <c r="D40" s="25"/>
      <c r="E40" s="25"/>
      <c r="F40" s="33"/>
      <c r="G40" s="33"/>
      <c r="H40" s="34"/>
      <c r="I40" s="34"/>
      <c r="J40" s="34"/>
      <c r="K40" s="34"/>
      <c r="L40" s="34"/>
      <c r="M40" s="33"/>
      <c r="N40" s="24"/>
    </row>
    <row r="41" hidden="1" outlineLevel="1" spans="1:14">
      <c r="A41" s="2"/>
      <c r="B41" s="79" t="s">
        <v>59</v>
      </c>
      <c r="C41" s="24"/>
      <c r="D41" s="25"/>
      <c r="E41" s="25"/>
      <c r="F41" s="33"/>
      <c r="G41" s="33"/>
      <c r="H41" s="34"/>
      <c r="I41" s="34"/>
      <c r="J41" s="34"/>
      <c r="K41" s="34"/>
      <c r="L41" s="34"/>
      <c r="M41" s="33"/>
      <c r="N41" s="24"/>
    </row>
    <row r="42" hidden="1" outlineLevel="1" spans="1:14">
      <c r="A42" s="2"/>
      <c r="B42" s="21"/>
      <c r="C42" s="24"/>
      <c r="D42" s="25"/>
      <c r="E42" s="25"/>
      <c r="F42" s="33"/>
      <c r="G42" s="33"/>
      <c r="H42" s="34"/>
      <c r="I42" s="34"/>
      <c r="J42" s="34"/>
      <c r="K42" s="34"/>
      <c r="L42" s="34"/>
      <c r="M42" s="33"/>
      <c r="N42" s="24"/>
    </row>
    <row r="43" s="1" customFormat="1" collapsed="1" spans="1:14">
      <c r="A43" s="14"/>
      <c r="B43" s="17" t="s">
        <v>77</v>
      </c>
      <c r="C43" s="18" t="s">
        <v>78</v>
      </c>
      <c r="D43" s="19">
        <f>D44</f>
        <v>0.25</v>
      </c>
      <c r="E43" s="19"/>
      <c r="F43" s="31"/>
      <c r="G43" s="31"/>
      <c r="H43" s="37"/>
      <c r="I43" s="37"/>
      <c r="J43" s="37"/>
      <c r="K43" s="37"/>
      <c r="L43" s="37"/>
      <c r="M43" s="31">
        <f>M44</f>
        <v>18</v>
      </c>
      <c r="N43" s="18"/>
    </row>
    <row r="44" spans="1:14">
      <c r="A44" s="2" t="s">
        <v>79</v>
      </c>
      <c r="B44" s="21">
        <v>1</v>
      </c>
      <c r="C44" s="22" t="str">
        <f>VLOOKUP($A44,PERTANYAAN!$A$18:$E$71,3,0)</f>
        <v>Staff</v>
      </c>
      <c r="D44" s="23">
        <f>VLOOKUP($A44,PERTANYAAN!$A$18:$E$71,5,0)</f>
        <v>0.25</v>
      </c>
      <c r="E44" s="25"/>
      <c r="F44" s="33"/>
      <c r="G44" s="33"/>
      <c r="H44" s="34"/>
      <c r="I44" s="34"/>
      <c r="J44" s="34"/>
      <c r="K44" s="34"/>
      <c r="L44" s="34"/>
      <c r="M44" s="33">
        <f>SUM(M45:M48)</f>
        <v>18</v>
      </c>
      <c r="N44" s="24"/>
    </row>
    <row r="45" spans="1:14">
      <c r="A45" s="20" t="s">
        <v>81</v>
      </c>
      <c r="B45" s="79" t="s">
        <v>59</v>
      </c>
      <c r="C45" s="22" t="str">
        <f>VLOOKUP($A45,PERTANYAAN!$A$18:$E$71,3,0)</f>
        <v>Kepemimpinan</v>
      </c>
      <c r="D45" s="23">
        <f>VLOOKUP($A45,PERTANYAAN!$A$18:$E$71,5,0)</f>
        <v>0.025</v>
      </c>
      <c r="E45" s="25"/>
      <c r="F45" s="33"/>
      <c r="G45" s="33"/>
      <c r="H45" s="34"/>
      <c r="I45" s="34" t="s">
        <v>37</v>
      </c>
      <c r="J45" s="34"/>
      <c r="K45" s="34"/>
      <c r="L45" s="34"/>
      <c r="M45" s="33">
        <f>IF(H45="V",$D45*H$15,IF(I45="V",$D45*I$15,IF(J45="V",$D45*J$15,IF(K45="V",$D45*K$15,IF(L45="V",$D45*L$15,0)))))*100</f>
        <v>1</v>
      </c>
      <c r="N45" s="24"/>
    </row>
    <row r="46" spans="1:14">
      <c r="A46" s="20" t="s">
        <v>84</v>
      </c>
      <c r="B46" s="79" t="s">
        <v>59</v>
      </c>
      <c r="C46" s="22" t="str">
        <f>VLOOKUP($A46,PERTANYAAN!$A$18:$E$71,3,0)</f>
        <v>Komunikasi</v>
      </c>
      <c r="D46" s="23">
        <f>VLOOKUP($A46,PERTANYAAN!$A$18:$E$71,5,0)</f>
        <v>0.1</v>
      </c>
      <c r="E46" s="25"/>
      <c r="F46" s="33"/>
      <c r="G46" s="33"/>
      <c r="H46" s="34"/>
      <c r="I46" s="34"/>
      <c r="J46" s="34" t="s">
        <v>37</v>
      </c>
      <c r="K46" s="34"/>
      <c r="L46" s="34"/>
      <c r="M46" s="33">
        <f>IF(H46="V",$D46*H$15,IF(I46="V",$D46*I$15,IF(J46="V",$D46*J$15,IF(K46="V",$D46*K$15,IF(L46="V",$D46*L$15,0)))))*100</f>
        <v>6</v>
      </c>
      <c r="N46" s="24"/>
    </row>
    <row r="47" spans="1:14">
      <c r="A47" s="20" t="s">
        <v>87</v>
      </c>
      <c r="B47" s="79" t="s">
        <v>59</v>
      </c>
      <c r="C47" s="22" t="str">
        <f>VLOOKUP($A47,PERTANYAAN!$A$18:$E$71,3,0)</f>
        <v>Patuh pada Peraturan / Commitment</v>
      </c>
      <c r="D47" s="23">
        <f>VLOOKUP($A47,PERTANYAAN!$A$18:$E$71,5,0)</f>
        <v>0.05</v>
      </c>
      <c r="E47" s="25"/>
      <c r="F47" s="33"/>
      <c r="G47" s="33"/>
      <c r="H47" s="34"/>
      <c r="I47" s="34"/>
      <c r="J47" s="34"/>
      <c r="K47" s="34"/>
      <c r="L47" s="34" t="s">
        <v>37</v>
      </c>
      <c r="M47" s="33">
        <f>IF(H47="V",$D47*H$15,IF(I47="V",$D47*I$15,IF(J47="V",$D47*J$15,IF(K47="V",$D47*K$15,IF(L47="V",$D47*L$15,0)))))*100</f>
        <v>5</v>
      </c>
      <c r="N47" s="24"/>
    </row>
    <row r="48" spans="1:14">
      <c r="A48" s="20" t="s">
        <v>90</v>
      </c>
      <c r="B48" s="79" t="s">
        <v>59</v>
      </c>
      <c r="C48" s="22" t="str">
        <f>VLOOKUP($A48,PERTANYAAN!$A$18:$E$71,3,0)</f>
        <v>Determinasi thd tekanan</v>
      </c>
      <c r="D48" s="23">
        <f>VLOOKUP($A48,PERTANYAAN!$A$18:$E$71,5,0)</f>
        <v>0.075</v>
      </c>
      <c r="E48" s="25"/>
      <c r="F48" s="33"/>
      <c r="G48" s="33"/>
      <c r="H48" s="34"/>
      <c r="I48" s="34"/>
      <c r="J48" s="34"/>
      <c r="K48" s="34" t="s">
        <v>37</v>
      </c>
      <c r="L48" s="34"/>
      <c r="M48" s="33">
        <f>IF(H48="V",$D48*H$15,IF(I48="V",$D48*I$15,IF(J48="V",$D48*J$15,IF(K48="V",$D48*K$15,IF(L48="V",$D48*L$15,0)))))*100</f>
        <v>6</v>
      </c>
      <c r="N48" s="24"/>
    </row>
    <row r="49" spans="1:14">
      <c r="A49" s="2"/>
      <c r="B49" s="21"/>
      <c r="C49" s="24"/>
      <c r="D49" s="25"/>
      <c r="E49" s="25"/>
      <c r="F49" s="33"/>
      <c r="G49" s="33"/>
      <c r="H49" s="34"/>
      <c r="I49" s="34"/>
      <c r="J49" s="34"/>
      <c r="K49" s="34"/>
      <c r="L49" s="34"/>
      <c r="M49" s="33"/>
      <c r="N49" s="24"/>
    </row>
    <row r="50" hidden="1" outlineLevel="1" spans="1:14">
      <c r="A50" s="2"/>
      <c r="B50" s="21">
        <v>2</v>
      </c>
      <c r="C50" s="24" t="s">
        <v>93</v>
      </c>
      <c r="D50" s="25"/>
      <c r="E50" s="25"/>
      <c r="F50" s="33"/>
      <c r="G50" s="33"/>
      <c r="H50" s="34"/>
      <c r="I50" s="34"/>
      <c r="J50" s="34"/>
      <c r="K50" s="34"/>
      <c r="L50" s="34"/>
      <c r="M50" s="33"/>
      <c r="N50" s="24"/>
    </row>
    <row r="51" hidden="1" outlineLevel="1" spans="1:14">
      <c r="A51" s="2"/>
      <c r="B51" s="79" t="s">
        <v>59</v>
      </c>
      <c r="C51" s="24" t="s">
        <v>82</v>
      </c>
      <c r="D51" s="25"/>
      <c r="E51" s="25"/>
      <c r="F51" s="33"/>
      <c r="G51" s="33"/>
      <c r="H51" s="34"/>
      <c r="I51" s="34"/>
      <c r="J51" s="34"/>
      <c r="K51" s="34"/>
      <c r="L51" s="34"/>
      <c r="M51" s="33"/>
      <c r="N51" s="24"/>
    </row>
    <row r="52" hidden="1" outlineLevel="1" spans="1:14">
      <c r="A52" s="2"/>
      <c r="B52" s="79" t="s">
        <v>59</v>
      </c>
      <c r="C52" s="24" t="s">
        <v>94</v>
      </c>
      <c r="D52" s="25"/>
      <c r="E52" s="25"/>
      <c r="F52" s="33"/>
      <c r="G52" s="33"/>
      <c r="H52" s="34"/>
      <c r="I52" s="34"/>
      <c r="J52" s="34"/>
      <c r="K52" s="34"/>
      <c r="L52" s="34"/>
      <c r="M52" s="33"/>
      <c r="N52" s="24"/>
    </row>
    <row r="53" hidden="1" outlineLevel="1" spans="1:14">
      <c r="A53" s="2"/>
      <c r="B53" s="79" t="s">
        <v>59</v>
      </c>
      <c r="C53" s="24" t="s">
        <v>95</v>
      </c>
      <c r="D53" s="25"/>
      <c r="E53" s="25"/>
      <c r="F53" s="33"/>
      <c r="G53" s="33"/>
      <c r="H53" s="34"/>
      <c r="I53" s="34"/>
      <c r="J53" s="34"/>
      <c r="K53" s="34"/>
      <c r="L53" s="34"/>
      <c r="M53" s="33"/>
      <c r="N53" s="24"/>
    </row>
    <row r="54" hidden="1" outlineLevel="1" spans="1:14">
      <c r="A54" s="2"/>
      <c r="B54" s="21"/>
      <c r="C54" s="24"/>
      <c r="D54" s="25"/>
      <c r="E54" s="25"/>
      <c r="F54" s="33"/>
      <c r="G54" s="33"/>
      <c r="H54" s="34"/>
      <c r="I54" s="34"/>
      <c r="J54" s="34"/>
      <c r="K54" s="34"/>
      <c r="L54" s="34"/>
      <c r="M54" s="33"/>
      <c r="N54" s="24"/>
    </row>
    <row r="55" hidden="1" outlineLevel="1" spans="1:14">
      <c r="A55" s="2"/>
      <c r="B55" s="21">
        <v>3</v>
      </c>
      <c r="C55" s="24" t="s">
        <v>96</v>
      </c>
      <c r="D55" s="25"/>
      <c r="E55" s="25"/>
      <c r="F55" s="33"/>
      <c r="G55" s="33"/>
      <c r="H55" s="34"/>
      <c r="I55" s="34"/>
      <c r="J55" s="34"/>
      <c r="K55" s="34"/>
      <c r="L55" s="34"/>
      <c r="M55" s="33"/>
      <c r="N55" s="24"/>
    </row>
    <row r="56" hidden="1" outlineLevel="1" spans="1:14">
      <c r="A56" s="2"/>
      <c r="B56" s="79" t="s">
        <v>59</v>
      </c>
      <c r="C56" s="24" t="s">
        <v>82</v>
      </c>
      <c r="D56" s="25"/>
      <c r="E56" s="25"/>
      <c r="F56" s="33"/>
      <c r="G56" s="33"/>
      <c r="H56" s="34"/>
      <c r="I56" s="34"/>
      <c r="J56" s="34"/>
      <c r="K56" s="34"/>
      <c r="L56" s="34"/>
      <c r="M56" s="33"/>
      <c r="N56" s="24"/>
    </row>
    <row r="57" hidden="1" outlineLevel="1" spans="1:14">
      <c r="A57" s="2"/>
      <c r="B57" s="79" t="s">
        <v>59</v>
      </c>
      <c r="C57" s="24" t="s">
        <v>95</v>
      </c>
      <c r="D57" s="25"/>
      <c r="E57" s="25"/>
      <c r="F57" s="33"/>
      <c r="G57" s="33"/>
      <c r="H57" s="34"/>
      <c r="I57" s="34"/>
      <c r="J57" s="34"/>
      <c r="K57" s="34"/>
      <c r="L57" s="34"/>
      <c r="M57" s="33"/>
      <c r="N57" s="24"/>
    </row>
    <row r="58" hidden="1" outlineLevel="1" spans="1:14">
      <c r="A58" s="2"/>
      <c r="B58" s="79" t="s">
        <v>59</v>
      </c>
      <c r="C58" s="24" t="s">
        <v>97</v>
      </c>
      <c r="D58" s="25"/>
      <c r="E58" s="25"/>
      <c r="F58" s="33"/>
      <c r="G58" s="33"/>
      <c r="H58" s="34"/>
      <c r="I58" s="34"/>
      <c r="J58" s="34"/>
      <c r="K58" s="34"/>
      <c r="L58" s="34"/>
      <c r="M58" s="33"/>
      <c r="N58" s="24"/>
    </row>
    <row r="59" hidden="1" outlineLevel="1" spans="1:14">
      <c r="A59" s="2"/>
      <c r="B59" s="21"/>
      <c r="C59" s="24"/>
      <c r="D59" s="25"/>
      <c r="E59" s="25"/>
      <c r="F59" s="33"/>
      <c r="G59" s="33"/>
      <c r="H59" s="34"/>
      <c r="I59" s="34"/>
      <c r="J59" s="34"/>
      <c r="K59" s="34"/>
      <c r="L59" s="34"/>
      <c r="M59" s="33"/>
      <c r="N59" s="24"/>
    </row>
    <row r="60" s="1" customFormat="1" collapsed="1" spans="1:14">
      <c r="A60" s="14"/>
      <c r="B60" s="17" t="s">
        <v>98</v>
      </c>
      <c r="C60" s="18" t="s">
        <v>99</v>
      </c>
      <c r="D60" s="19">
        <f>SUM(D61:D64)</f>
        <v>0.15</v>
      </c>
      <c r="E60" s="19"/>
      <c r="F60" s="31"/>
      <c r="G60" s="31"/>
      <c r="H60" s="37"/>
      <c r="I60" s="37"/>
      <c r="J60" s="37"/>
      <c r="K60" s="37"/>
      <c r="L60" s="37"/>
      <c r="M60" s="31">
        <f>SUM(M61:M64)</f>
        <v>11</v>
      </c>
      <c r="N60" s="18"/>
    </row>
    <row r="61" spans="1:14">
      <c r="A61" s="20" t="s">
        <v>100</v>
      </c>
      <c r="B61" s="79" t="s">
        <v>59</v>
      </c>
      <c r="C61" s="22" t="str">
        <f>VLOOKUP($A61,PERTANYAAN!$A$18:$E$71,3,0)</f>
        <v>Antusiasme / Keinginan bergabung</v>
      </c>
      <c r="D61" s="23">
        <f>VLOOKUP($A61,PERTANYAAN!$A$18:$E$71,5,0)</f>
        <v>0.075</v>
      </c>
      <c r="E61" s="25"/>
      <c r="F61" s="33"/>
      <c r="G61" s="33"/>
      <c r="H61" s="34"/>
      <c r="I61" s="34"/>
      <c r="J61" s="34"/>
      <c r="K61" s="34" t="s">
        <v>37</v>
      </c>
      <c r="L61" s="34"/>
      <c r="M61" s="33">
        <f t="shared" ref="M61:M63" si="2">IF(H61="V",$D61*H$15,IF(I61="V",$D61*I$15,IF(J61="V",$D61*J$15,IF(K61="V",$D61*K$15,IF(L61="V",$D61*L$15,0)))))*100</f>
        <v>6</v>
      </c>
      <c r="N61" s="24"/>
    </row>
    <row r="62" spans="1:14">
      <c r="A62" s="20" t="s">
        <v>103</v>
      </c>
      <c r="B62" s="79" t="s">
        <v>59</v>
      </c>
      <c r="C62" s="22" t="str">
        <f>VLOOKUP($A62,PERTANYAAN!$A$18:$E$71,3,0)</f>
        <v>Inisiatif</v>
      </c>
      <c r="D62" s="23">
        <f>VLOOKUP($A62,PERTANYAAN!$A$18:$E$71,5,0)</f>
        <v>0.05</v>
      </c>
      <c r="E62" s="25"/>
      <c r="F62" s="33"/>
      <c r="G62" s="33"/>
      <c r="H62" s="34"/>
      <c r="I62" s="34"/>
      <c r="J62" s="34" t="s">
        <v>37</v>
      </c>
      <c r="K62" s="34"/>
      <c r="L62" s="34"/>
      <c r="M62" s="33">
        <f t="shared" si="2"/>
        <v>3</v>
      </c>
      <c r="N62" s="24"/>
    </row>
    <row r="63" spans="1:14">
      <c r="A63" s="20" t="s">
        <v>106</v>
      </c>
      <c r="B63" s="79" t="s">
        <v>59</v>
      </c>
      <c r="C63" s="22" t="str">
        <f>VLOOKUP($A63,PERTANYAAN!$A$18:$E$71,3,0)</f>
        <v>Adaptif</v>
      </c>
      <c r="D63" s="23">
        <f>VLOOKUP($A63,PERTANYAAN!$A$18:$E$71,5,0)</f>
        <v>0.025</v>
      </c>
      <c r="E63" s="25"/>
      <c r="F63" s="33"/>
      <c r="G63" s="33"/>
      <c r="H63" s="34"/>
      <c r="I63" s="34"/>
      <c r="J63" s="34"/>
      <c r="K63" s="34" t="s">
        <v>37</v>
      </c>
      <c r="L63" s="34"/>
      <c r="M63" s="33">
        <f t="shared" si="2"/>
        <v>2</v>
      </c>
      <c r="N63" s="24"/>
    </row>
    <row r="64" spans="1:14">
      <c r="A64" s="2"/>
      <c r="B64" s="21"/>
      <c r="C64" s="24"/>
      <c r="D64" s="25"/>
      <c r="E64" s="25"/>
      <c r="F64" s="33"/>
      <c r="G64" s="33"/>
      <c r="H64" s="34"/>
      <c r="I64" s="34"/>
      <c r="J64" s="34"/>
      <c r="K64" s="34"/>
      <c r="L64" s="34"/>
      <c r="M64" s="33"/>
      <c r="N64" s="24"/>
    </row>
    <row r="65" s="1" customFormat="1" spans="1:14">
      <c r="A65" s="14"/>
      <c r="B65" s="17" t="s">
        <v>109</v>
      </c>
      <c r="C65" s="18" t="s">
        <v>110</v>
      </c>
      <c r="D65" s="19">
        <f>SUM(D66:D68)</f>
        <v>0.05</v>
      </c>
      <c r="E65" s="19"/>
      <c r="F65" s="31"/>
      <c r="G65" s="31"/>
      <c r="H65" s="37"/>
      <c r="I65" s="37"/>
      <c r="J65" s="37"/>
      <c r="K65" s="37"/>
      <c r="L65" s="37"/>
      <c r="M65" s="31">
        <f>SUM(M66:M68)</f>
        <v>3.8</v>
      </c>
      <c r="N65" s="18"/>
    </row>
    <row r="66" spans="1:14">
      <c r="A66" s="20" t="s">
        <v>111</v>
      </c>
      <c r="B66" s="79" t="s">
        <v>59</v>
      </c>
      <c r="C66" s="22" t="str">
        <f>VLOOKUP($A66,PERTANYAAN!$A$18:$E$71,3,0)</f>
        <v>Ekspektasi Salary (Mengukur Budget &amp; Skill)</v>
      </c>
      <c r="D66" s="23">
        <f>VLOOKUP($A66,PERTANYAAN!$A$18:$E$71,5,0)</f>
        <v>0.04</v>
      </c>
      <c r="E66" s="25"/>
      <c r="F66" s="33"/>
      <c r="G66" s="33"/>
      <c r="H66" s="34"/>
      <c r="I66" s="34"/>
      <c r="J66" s="34"/>
      <c r="K66" s="34" t="s">
        <v>37</v>
      </c>
      <c r="L66" s="34"/>
      <c r="M66" s="33">
        <f t="shared" ref="M66:M67" si="3">IF(H66="V",$D66*H$15,IF(I66="V",$D66*I$15,IF(J66="V",$D66*J$15,IF(K66="V",$D66*K$15,IF(L66="V",$D66*L$15,0)))))*100</f>
        <v>3.2</v>
      </c>
      <c r="N66" s="24"/>
    </row>
    <row r="67" spans="1:14">
      <c r="A67" s="20" t="s">
        <v>114</v>
      </c>
      <c r="B67" s="79" t="s">
        <v>59</v>
      </c>
      <c r="C67" s="22" t="str">
        <f>VLOOKUP($A67,PERTANYAAN!$A$18:$E$71,3,0)</f>
        <v>Tujuan Karir</v>
      </c>
      <c r="D67" s="23">
        <f>VLOOKUP($A67,PERTANYAAN!$A$18:$E$71,5,0)</f>
        <v>0.01</v>
      </c>
      <c r="E67" s="25"/>
      <c r="F67" s="33"/>
      <c r="G67" s="33"/>
      <c r="H67" s="34"/>
      <c r="I67" s="34"/>
      <c r="J67" s="34" t="s">
        <v>37</v>
      </c>
      <c r="K67" s="34"/>
      <c r="L67" s="34"/>
      <c r="M67" s="33">
        <f t="shared" si="3"/>
        <v>0.6</v>
      </c>
      <c r="N67" s="24"/>
    </row>
    <row r="68" spans="1:14">
      <c r="A68" s="20"/>
      <c r="B68" s="21"/>
      <c r="C68" s="24"/>
      <c r="D68" s="25"/>
      <c r="E68" s="25"/>
      <c r="F68" s="33"/>
      <c r="G68" s="33"/>
      <c r="H68" s="34"/>
      <c r="I68" s="34"/>
      <c r="J68" s="34"/>
      <c r="K68" s="34"/>
      <c r="L68" s="34"/>
      <c r="M68" s="33"/>
      <c r="N68" s="24"/>
    </row>
    <row r="69" s="1" customFormat="1" spans="1:14">
      <c r="A69" s="14"/>
      <c r="B69" s="17" t="s">
        <v>117</v>
      </c>
      <c r="C69" s="18" t="s">
        <v>118</v>
      </c>
      <c r="D69" s="19">
        <f>SUM(D70:D70)</f>
        <v>0.05</v>
      </c>
      <c r="E69" s="19"/>
      <c r="F69" s="31"/>
      <c r="G69" s="31"/>
      <c r="H69" s="37"/>
      <c r="I69" s="37"/>
      <c r="J69" s="37"/>
      <c r="K69" s="37"/>
      <c r="L69" s="37"/>
      <c r="M69" s="31">
        <f>SUM(M70)</f>
        <v>4</v>
      </c>
      <c r="N69" s="18"/>
    </row>
    <row r="70" spans="1:14">
      <c r="A70" s="20" t="s">
        <v>119</v>
      </c>
      <c r="B70" s="79" t="s">
        <v>59</v>
      </c>
      <c r="C70" s="22" t="str">
        <f>VLOOKUP($A70,PERTANYAAN!$A$18:$E$71,3,0)</f>
        <v>Pertanyaan Spesifik User</v>
      </c>
      <c r="D70" s="23">
        <f>VLOOKUP($A70,PERTANYAAN!$A$18:$E$71,5,0)</f>
        <v>0.05</v>
      </c>
      <c r="E70" s="25"/>
      <c r="F70" s="33"/>
      <c r="G70" s="33"/>
      <c r="H70" s="34"/>
      <c r="I70" s="34"/>
      <c r="J70" s="34"/>
      <c r="K70" s="34" t="s">
        <v>37</v>
      </c>
      <c r="L70" s="34"/>
      <c r="M70" s="33">
        <f t="shared" ref="M70" si="4">IF(H70="V",$D70*H$15,IF(I70="V",$D70*I$15,IF(J70="V",$D70*J$15,IF(K70="V",$D70*K$15,IF(L70="V",$D70*L$15,0)))))*100</f>
        <v>4</v>
      </c>
      <c r="N70" s="24"/>
    </row>
    <row r="71" spans="2:14">
      <c r="B71" s="43"/>
      <c r="C71" s="44"/>
      <c r="D71" s="45"/>
      <c r="E71" s="45"/>
      <c r="F71" s="46"/>
      <c r="G71" s="46"/>
      <c r="H71" s="47"/>
      <c r="I71" s="47"/>
      <c r="J71" s="47"/>
      <c r="K71" s="47"/>
      <c r="L71" s="47"/>
      <c r="M71" s="46"/>
      <c r="N71" s="44"/>
    </row>
    <row r="73" spans="8:8">
      <c r="H73" s="48" t="s">
        <v>23</v>
      </c>
    </row>
    <row r="74" spans="8:10">
      <c r="H74" s="5" t="s">
        <v>26</v>
      </c>
      <c r="I74" s="5" t="s">
        <v>3</v>
      </c>
      <c r="J74" s="49" t="s">
        <v>122</v>
      </c>
    </row>
    <row r="75" spans="8:10">
      <c r="H75" s="5" t="s">
        <v>27</v>
      </c>
      <c r="I75" s="5" t="s">
        <v>3</v>
      </c>
      <c r="J75" s="49" t="s">
        <v>123</v>
      </c>
    </row>
    <row r="76" spans="8:10">
      <c r="H76" s="5" t="s">
        <v>28</v>
      </c>
      <c r="I76" s="5" t="s">
        <v>3</v>
      </c>
      <c r="J76" s="49" t="s">
        <v>124</v>
      </c>
    </row>
    <row r="77" spans="8:10">
      <c r="H77" s="5" t="s">
        <v>29</v>
      </c>
      <c r="I77" s="5" t="s">
        <v>3</v>
      </c>
      <c r="J77" s="49" t="s">
        <v>125</v>
      </c>
    </row>
    <row r="78" spans="8:10">
      <c r="H78" s="5" t="s">
        <v>30</v>
      </c>
      <c r="I78" s="5" t="s">
        <v>3</v>
      </c>
      <c r="J78" s="49" t="s">
        <v>126</v>
      </c>
    </row>
  </sheetData>
  <mergeCells count="8">
    <mergeCell ref="F13:G13"/>
    <mergeCell ref="H13:L13"/>
    <mergeCell ref="A13:A14"/>
    <mergeCell ref="B13:B14"/>
    <mergeCell ref="C13:C14"/>
    <mergeCell ref="D13:D14"/>
    <mergeCell ref="M13:M14"/>
    <mergeCell ref="N13:N1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Q78"/>
  <sheetViews>
    <sheetView tabSelected="1" zoomScale="55" zoomScaleNormal="55" workbookViewId="0">
      <pane xSplit="1" ySplit="14" topLeftCell="B20" activePane="bottomRight" state="frozen"/>
      <selection/>
      <selection pane="topRight"/>
      <selection pane="bottomLeft"/>
      <selection pane="bottomRight" activeCell="C87" sqref="C87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9.14159292035398" style="3"/>
    <col min="5" max="5" width="1.70796460176991" style="3" customWidth="1"/>
    <col min="6" max="7" width="9.14159292035398" style="4"/>
    <col min="8" max="12" width="9.14159292035398" style="5"/>
    <col min="13" max="13" width="9.14159292035398" style="4"/>
    <col min="14" max="14" width="22.5486725663717" customWidth="1"/>
    <col min="16" max="16" width="11.7079646017699" customWidth="1"/>
  </cols>
  <sheetData>
    <row r="1" spans="1:1">
      <c r="A1" s="1" t="s">
        <v>0</v>
      </c>
    </row>
    <row r="2" spans="1:1">
      <c r="A2" s="1" t="s">
        <v>1</v>
      </c>
    </row>
    <row r="5" spans="1:3">
      <c r="A5" s="1" t="s">
        <v>2</v>
      </c>
      <c r="B5" s="2" t="s">
        <v>3</v>
      </c>
      <c r="C5" s="1" t="s">
        <v>145</v>
      </c>
    </row>
    <row r="6" spans="1:3">
      <c r="A6" s="1" t="s">
        <v>4</v>
      </c>
      <c r="B6" s="2" t="s">
        <v>3</v>
      </c>
      <c r="C6" t="s">
        <v>5</v>
      </c>
    </row>
    <row r="7" spans="1:3">
      <c r="A7" s="1" t="s">
        <v>6</v>
      </c>
      <c r="B7" s="2" t="s">
        <v>3</v>
      </c>
      <c r="C7" t="s">
        <v>146</v>
      </c>
    </row>
    <row r="8" spans="1:3">
      <c r="A8" s="1" t="s">
        <v>8</v>
      </c>
      <c r="B8" s="2" t="s">
        <v>3</v>
      </c>
      <c r="C8" t="s">
        <v>9</v>
      </c>
    </row>
    <row r="9" spans="1:2">
      <c r="A9" s="1" t="s">
        <v>10</v>
      </c>
      <c r="B9" s="2" t="s">
        <v>3</v>
      </c>
    </row>
    <row r="10" spans="1:4">
      <c r="A10" s="1" t="s">
        <v>142</v>
      </c>
      <c r="B10" s="2" t="s">
        <v>3</v>
      </c>
      <c r="C10" s="1" t="s">
        <v>147</v>
      </c>
      <c r="D10" s="6" t="s">
        <v>148</v>
      </c>
    </row>
    <row r="11" spans="1:3">
      <c r="A11" s="1" t="s">
        <v>14</v>
      </c>
      <c r="B11" s="2" t="s">
        <v>3</v>
      </c>
      <c r="C11" s="7">
        <f>M16</f>
        <v>66.2</v>
      </c>
    </row>
    <row r="13" s="1" customFormat="1" spans="1:14">
      <c r="A13" s="8" t="s">
        <v>15</v>
      </c>
      <c r="B13" s="9" t="s">
        <v>16</v>
      </c>
      <c r="C13" s="9" t="s">
        <v>17</v>
      </c>
      <c r="D13" s="10" t="s">
        <v>19</v>
      </c>
      <c r="E13" s="10"/>
      <c r="F13" s="26" t="s">
        <v>20</v>
      </c>
      <c r="G13" s="26"/>
      <c r="H13" s="9" t="s">
        <v>21</v>
      </c>
      <c r="I13" s="9"/>
      <c r="J13" s="9"/>
      <c r="K13" s="9"/>
      <c r="L13" s="9"/>
      <c r="M13" s="26" t="s">
        <v>22</v>
      </c>
      <c r="N13" s="38" t="s">
        <v>23</v>
      </c>
    </row>
    <row r="14" s="1" customFormat="1" spans="1:14">
      <c r="A14" s="8"/>
      <c r="B14" s="9"/>
      <c r="C14" s="11"/>
      <c r="D14" s="12"/>
      <c r="E14" s="12"/>
      <c r="F14" s="26" t="s">
        <v>24</v>
      </c>
      <c r="G14" s="26" t="s">
        <v>25</v>
      </c>
      <c r="H14" s="9" t="s">
        <v>26</v>
      </c>
      <c r="I14" s="9" t="s">
        <v>27</v>
      </c>
      <c r="J14" s="9" t="s">
        <v>28</v>
      </c>
      <c r="K14" s="9" t="s">
        <v>29</v>
      </c>
      <c r="L14" s="9" t="s">
        <v>30</v>
      </c>
      <c r="M14" s="26"/>
      <c r="N14" s="38"/>
    </row>
    <row r="15" s="1" customFormat="1" spans="2:14">
      <c r="B15" s="13"/>
      <c r="C15" s="13"/>
      <c r="D15" s="13"/>
      <c r="E15" s="27"/>
      <c r="F15" s="28"/>
      <c r="G15" s="28"/>
      <c r="H15" s="29">
        <v>0.2</v>
      </c>
      <c r="I15" s="29">
        <v>0.4</v>
      </c>
      <c r="J15" s="29">
        <v>0.6</v>
      </c>
      <c r="K15" s="29">
        <v>0.8</v>
      </c>
      <c r="L15" s="29">
        <v>1</v>
      </c>
      <c r="M15" s="28"/>
      <c r="N15" s="39"/>
    </row>
    <row r="16" s="1" customFormat="1" spans="1:14">
      <c r="A16" s="14"/>
      <c r="B16" s="15"/>
      <c r="C16" s="16" t="s">
        <v>31</v>
      </c>
      <c r="D16" s="15"/>
      <c r="E16" s="15"/>
      <c r="F16" s="30"/>
      <c r="G16" s="30"/>
      <c r="H16" s="15"/>
      <c r="I16" s="15"/>
      <c r="J16" s="15"/>
      <c r="K16" s="15"/>
      <c r="L16" s="15"/>
      <c r="M16" s="40">
        <f>M17+M21+M27+M43+M60+M65+M69</f>
        <v>66.2</v>
      </c>
      <c r="N16" s="41"/>
    </row>
    <row r="17" spans="2:14">
      <c r="B17" s="17" t="s">
        <v>32</v>
      </c>
      <c r="C17" s="18" t="s">
        <v>144</v>
      </c>
      <c r="D17" s="19">
        <f>SUM(D18:D19)</f>
        <v>0.1</v>
      </c>
      <c r="E17" s="19"/>
      <c r="F17" s="31"/>
      <c r="G17" s="31"/>
      <c r="H17" s="32"/>
      <c r="I17" s="32"/>
      <c r="J17" s="32"/>
      <c r="K17" s="32"/>
      <c r="L17" s="32"/>
      <c r="M17" s="31">
        <f>SUM(M18:M20)</f>
        <v>4</v>
      </c>
      <c r="N17" s="42"/>
    </row>
    <row r="18" spans="1:14">
      <c r="A18" s="20" t="s">
        <v>34</v>
      </c>
      <c r="B18" s="21">
        <v>1</v>
      </c>
      <c r="C18" s="22" t="str">
        <f>VLOOKUP($A18,PERTANYAAN!$A$18:$E$71,3,0)</f>
        <v>Pengalaman di dalam Daniswara Group</v>
      </c>
      <c r="D18" s="23">
        <f>VLOOKUP($A18,PERTANYAAN!$A$18:$E$71,5,0)</f>
        <v>0.06</v>
      </c>
      <c r="E18" s="25"/>
      <c r="F18" s="33"/>
      <c r="G18" s="33" t="s">
        <v>37</v>
      </c>
      <c r="H18" s="34"/>
      <c r="I18" s="34"/>
      <c r="J18" s="34"/>
      <c r="K18" s="34"/>
      <c r="L18" s="34"/>
      <c r="M18" s="33">
        <f>IF(F18="V",D18*100,0)</f>
        <v>0</v>
      </c>
      <c r="N18" s="24"/>
    </row>
    <row r="19" spans="1:14">
      <c r="A19" s="20" t="s">
        <v>38</v>
      </c>
      <c r="B19" s="21">
        <f>B18+1</f>
        <v>2</v>
      </c>
      <c r="C19" s="22" t="str">
        <f>VLOOKUP($A19,PERTANYAAN!$A$18:$E$71,3,0)</f>
        <v>Pengalaman di luar Daniswara Group</v>
      </c>
      <c r="D19" s="23">
        <f>VLOOKUP($A19,PERTANYAAN!$A$18:$E$71,5,0)</f>
        <v>0.04</v>
      </c>
      <c r="E19" s="25"/>
      <c r="F19" s="33" t="s">
        <v>37</v>
      </c>
      <c r="G19" s="33"/>
      <c r="H19" s="34"/>
      <c r="I19" s="34"/>
      <c r="J19" s="34"/>
      <c r="K19" s="34"/>
      <c r="L19" s="34"/>
      <c r="M19" s="33">
        <f>IF(F19="V",D19*100,0)</f>
        <v>4</v>
      </c>
      <c r="N19" s="24"/>
    </row>
    <row r="20" spans="1:14">
      <c r="A20" s="2"/>
      <c r="B20" s="21"/>
      <c r="C20" s="24"/>
      <c r="D20" s="25"/>
      <c r="E20" s="25"/>
      <c r="F20" s="33"/>
      <c r="G20" s="33"/>
      <c r="H20" s="34"/>
      <c r="I20" s="34"/>
      <c r="J20" s="34"/>
      <c r="K20" s="34"/>
      <c r="L20" s="34"/>
      <c r="M20" s="33"/>
      <c r="N20" s="24"/>
    </row>
    <row r="21" spans="1:14">
      <c r="A21" s="2"/>
      <c r="B21" s="17" t="s">
        <v>29</v>
      </c>
      <c r="C21" s="18" t="s">
        <v>41</v>
      </c>
      <c r="D21" s="19">
        <f>SUM(D22:D25)</f>
        <v>0.05</v>
      </c>
      <c r="E21" s="19"/>
      <c r="F21" s="31"/>
      <c r="G21" s="31"/>
      <c r="H21" s="32"/>
      <c r="I21" s="32"/>
      <c r="J21" s="32"/>
      <c r="K21" s="32"/>
      <c r="L21" s="32"/>
      <c r="M21" s="31">
        <f>SUM(M22:M25)</f>
        <v>3</v>
      </c>
      <c r="N21" s="42"/>
    </row>
    <row r="22" spans="1:14">
      <c r="A22" s="20" t="s">
        <v>42</v>
      </c>
      <c r="B22" s="21">
        <v>1</v>
      </c>
      <c r="C22" s="22" t="str">
        <f>VLOOKUP($A22,PERTANYAAN!$A$18:$E$71,3,0)</f>
        <v>Identitas (KTP &amp; KK)</v>
      </c>
      <c r="D22" s="23">
        <f>VLOOKUP($A22,PERTANYAAN!$A$18:$E$71,5,0)</f>
        <v>0.01</v>
      </c>
      <c r="E22" s="25"/>
      <c r="F22" s="33" t="s">
        <v>37</v>
      </c>
      <c r="G22" s="33"/>
      <c r="H22" s="34"/>
      <c r="I22" s="34"/>
      <c r="J22" s="34"/>
      <c r="K22" s="34"/>
      <c r="L22" s="34"/>
      <c r="M22" s="33">
        <f>IF(F22="V",D22*100,0)</f>
        <v>1</v>
      </c>
      <c r="N22" s="24"/>
    </row>
    <row r="23" spans="1:14">
      <c r="A23" s="20" t="s">
        <v>45</v>
      </c>
      <c r="B23" s="21">
        <f>B22+1</f>
        <v>2</v>
      </c>
      <c r="C23" s="22" t="str">
        <f>VLOOKUP($A23,PERTANYAAN!$A$18:$E$71,3,0)</f>
        <v>SIM A (utk jabatan di Divisi Operasi)</v>
      </c>
      <c r="D23" s="23">
        <f>VLOOKUP($A23,PERTANYAAN!$A$18:$E$71,5,0)</f>
        <v>0.02</v>
      </c>
      <c r="E23" s="25"/>
      <c r="F23" s="33"/>
      <c r="G23" s="33" t="s">
        <v>37</v>
      </c>
      <c r="H23" s="34"/>
      <c r="I23" s="34"/>
      <c r="J23" s="34"/>
      <c r="K23" s="34"/>
      <c r="L23" s="34"/>
      <c r="M23" s="33">
        <f>IF(F23="V",D23*100,0)</f>
        <v>0</v>
      </c>
      <c r="N23" s="24"/>
    </row>
    <row r="24" spans="1:14">
      <c r="A24" s="20" t="s">
        <v>48</v>
      </c>
      <c r="B24" s="21">
        <f t="shared" ref="B24:B25" si="0">B23+1</f>
        <v>3</v>
      </c>
      <c r="C24" s="22" t="str">
        <f>VLOOKUP($A24,PERTANYAAN!$A$18:$E$71,3,0)</f>
        <v>SIM C</v>
      </c>
      <c r="D24" s="23">
        <f>VLOOKUP($A24,PERTANYAAN!$A$18:$E$71,5,0)</f>
        <v>0.01</v>
      </c>
      <c r="E24" s="25"/>
      <c r="F24" s="33" t="s">
        <v>37</v>
      </c>
      <c r="G24" s="33"/>
      <c r="H24" s="34"/>
      <c r="I24" s="34"/>
      <c r="J24" s="34"/>
      <c r="K24" s="34"/>
      <c r="L24" s="34"/>
      <c r="M24" s="33">
        <f>IF(F24="V",D24*100,0)</f>
        <v>1</v>
      </c>
      <c r="N24" s="24"/>
    </row>
    <row r="25" spans="1:14">
      <c r="A25" s="20" t="s">
        <v>51</v>
      </c>
      <c r="B25" s="21">
        <f t="shared" si="0"/>
        <v>4</v>
      </c>
      <c r="C25" s="22" t="str">
        <f>VLOOKUP($A25,PERTANYAAN!$A$18:$E$71,3,0)</f>
        <v>NPWP</v>
      </c>
      <c r="D25" s="23">
        <f>VLOOKUP($A25,PERTANYAAN!$A$18:$E$71,5,0)</f>
        <v>0.01</v>
      </c>
      <c r="E25" s="25"/>
      <c r="F25" s="33" t="s">
        <v>37</v>
      </c>
      <c r="G25" s="33"/>
      <c r="H25" s="34"/>
      <c r="I25" s="34"/>
      <c r="J25" s="34"/>
      <c r="K25" s="34"/>
      <c r="L25" s="34"/>
      <c r="M25" s="33">
        <f>IF(F25="V",D25*100,0)</f>
        <v>1</v>
      </c>
      <c r="N25" s="24"/>
    </row>
    <row r="26" spans="1:14">
      <c r="A26" s="2"/>
      <c r="B26" s="21"/>
      <c r="C26" s="24"/>
      <c r="D26" s="25"/>
      <c r="E26" s="25"/>
      <c r="F26" s="33"/>
      <c r="G26" s="33"/>
      <c r="H26" s="34"/>
      <c r="I26" s="34"/>
      <c r="J26" s="34"/>
      <c r="K26" s="34"/>
      <c r="L26" s="34"/>
      <c r="M26" s="33"/>
      <c r="N26" s="24"/>
    </row>
    <row r="27" spans="1:14">
      <c r="A27" s="2"/>
      <c r="B27" s="17" t="s">
        <v>54</v>
      </c>
      <c r="C27" s="18" t="s">
        <v>55</v>
      </c>
      <c r="D27" s="19">
        <f>D28</f>
        <v>0.35</v>
      </c>
      <c r="E27" s="35"/>
      <c r="F27" s="36"/>
      <c r="G27" s="36"/>
      <c r="H27" s="32"/>
      <c r="I27" s="32"/>
      <c r="J27" s="32"/>
      <c r="K27" s="32"/>
      <c r="L27" s="32"/>
      <c r="M27" s="31">
        <f>M28</f>
        <v>20</v>
      </c>
      <c r="N27" s="42"/>
    </row>
    <row r="28" spans="1:14">
      <c r="A28" s="20" t="s">
        <v>56</v>
      </c>
      <c r="B28" s="21">
        <v>1</v>
      </c>
      <c r="C28" s="22" t="str">
        <f>VLOOKUP($A28,PERTANYAAN!$A$18:$E$71,3,0)</f>
        <v>Operasi / Logistik</v>
      </c>
      <c r="D28" s="23">
        <f>VLOOKUP($A28,PERTANYAAN!$A$18:$E$71,5,0)</f>
        <v>0.35</v>
      </c>
      <c r="E28" s="25"/>
      <c r="F28" s="33"/>
      <c r="G28" s="33"/>
      <c r="H28" s="34"/>
      <c r="I28" s="34"/>
      <c r="J28" s="34"/>
      <c r="K28" s="34"/>
      <c r="L28" s="34"/>
      <c r="M28" s="33">
        <f>SUM(M29:M33)</f>
        <v>20</v>
      </c>
      <c r="N28" s="24"/>
    </row>
    <row r="29" spans="1:14">
      <c r="A29" s="20" t="s">
        <v>58</v>
      </c>
      <c r="B29" s="79" t="s">
        <v>59</v>
      </c>
      <c r="C29" s="22" t="str">
        <f>VLOOKUP($A29,PERTANYAAN!$A$18:$E$71,3,0)</f>
        <v>Skill Mengemudi</v>
      </c>
      <c r="D29" s="23">
        <f>VLOOKUP($A29,PERTANYAAN!$A$18:$E$71,5,0)</f>
        <v>0.15</v>
      </c>
      <c r="E29" s="25"/>
      <c r="F29" s="33"/>
      <c r="G29" s="33"/>
      <c r="H29" s="34"/>
      <c r="I29" s="34" t="s">
        <v>37</v>
      </c>
      <c r="J29" s="34"/>
      <c r="K29" s="34"/>
      <c r="L29" s="34"/>
      <c r="M29" s="33">
        <f>IF(H29="V",$D29*H$15,IF(I29="V",$D29*I$15,IF(J29="V",$D29*J$15,IF(K29="V",$D29*K$15,IF(L29="V",$D29*L$15,0)))))*100</f>
        <v>6</v>
      </c>
      <c r="N29" s="24"/>
    </row>
    <row r="30" spans="1:14">
      <c r="A30" s="20" t="s">
        <v>62</v>
      </c>
      <c r="B30" s="79" t="s">
        <v>59</v>
      </c>
      <c r="C30" s="22" t="str">
        <f>VLOOKUP($A30,PERTANYAAN!$A$18:$E$71,3,0)</f>
        <v>Flow Administrasi Logistik</v>
      </c>
      <c r="D30" s="23">
        <f>VLOOKUP($A30,PERTANYAAN!$A$18:$E$71,5,0)</f>
        <v>0.1</v>
      </c>
      <c r="E30" s="25"/>
      <c r="F30" s="33"/>
      <c r="G30" s="33"/>
      <c r="H30" s="34"/>
      <c r="I30" s="34"/>
      <c r="J30" s="34" t="s">
        <v>37</v>
      </c>
      <c r="K30" s="34"/>
      <c r="L30" s="34"/>
      <c r="M30" s="33">
        <f t="shared" ref="M30:M32" si="1">IF(H30="V",$D30*H$15,IF(I30="V",$D30*I$15,IF(J30="V",$D30*J$15,IF(K30="V",$D30*K$15,IF(L30="V",$D30*L$15,0)))))*100</f>
        <v>6</v>
      </c>
      <c r="N30" s="24"/>
    </row>
    <row r="31" spans="1:14">
      <c r="A31" s="20" t="s">
        <v>65</v>
      </c>
      <c r="B31" s="79" t="s">
        <v>59</v>
      </c>
      <c r="C31" s="22" t="str">
        <f>VLOOKUP($A31,PERTANYAAN!$A$18:$E$71,3,0)</f>
        <v>Pengetahuan terkait logistik</v>
      </c>
      <c r="D31" s="23">
        <f>VLOOKUP($A31,PERTANYAAN!$A$18:$E$71,5,0)</f>
        <v>0.025</v>
      </c>
      <c r="E31" s="25"/>
      <c r="F31" s="33"/>
      <c r="G31" s="33"/>
      <c r="H31" s="34"/>
      <c r="I31" s="34"/>
      <c r="J31" s="34"/>
      <c r="K31" s="34" t="s">
        <v>37</v>
      </c>
      <c r="L31" s="34"/>
      <c r="M31" s="33">
        <f t="shared" si="1"/>
        <v>2</v>
      </c>
      <c r="N31" s="24"/>
    </row>
    <row r="32" spans="1:14">
      <c r="A32" s="20" t="s">
        <v>68</v>
      </c>
      <c r="B32" s="79" t="s">
        <v>59</v>
      </c>
      <c r="C32" s="22" t="str">
        <f>VLOOKUP($A32,PERTANYAAN!$A$18:$E$71,3,0)</f>
        <v>Pengalaman di Bongkar Muat</v>
      </c>
      <c r="D32" s="23">
        <f>VLOOKUP($A32,PERTANYAAN!$A$18:$E$71,5,0)</f>
        <v>0.075</v>
      </c>
      <c r="E32" s="25"/>
      <c r="F32" s="33"/>
      <c r="G32" s="33"/>
      <c r="H32" s="34"/>
      <c r="I32" s="34"/>
      <c r="J32" s="34"/>
      <c r="K32" s="34" t="s">
        <v>37</v>
      </c>
      <c r="L32" s="34"/>
      <c r="M32" s="33">
        <f t="shared" si="1"/>
        <v>6</v>
      </c>
      <c r="N32" s="24"/>
    </row>
    <row r="33" spans="1:14">
      <c r="A33" s="2"/>
      <c r="B33" s="21"/>
      <c r="C33" s="24"/>
      <c r="D33" s="25"/>
      <c r="E33" s="25"/>
      <c r="F33" s="33"/>
      <c r="G33" s="33"/>
      <c r="H33" s="34"/>
      <c r="I33" s="34"/>
      <c r="J33" s="34"/>
      <c r="K33" s="34"/>
      <c r="L33" s="34"/>
      <c r="M33" s="33"/>
      <c r="N33" s="24"/>
    </row>
    <row r="34" hidden="1" outlineLevel="1" spans="1:14">
      <c r="A34" s="2"/>
      <c r="B34" s="21">
        <f>B28+1</f>
        <v>2</v>
      </c>
      <c r="C34" s="24" t="s">
        <v>71</v>
      </c>
      <c r="D34" s="25">
        <f>SUM(D35:D37)</f>
        <v>0.35</v>
      </c>
      <c r="E34" s="25"/>
      <c r="F34" s="33"/>
      <c r="G34" s="33"/>
      <c r="H34" s="34"/>
      <c r="I34" s="34"/>
      <c r="J34" s="34"/>
      <c r="K34" s="34"/>
      <c r="L34" s="34"/>
      <c r="M34" s="33"/>
      <c r="N34" s="24"/>
    </row>
    <row r="35" hidden="1" outlineLevel="1" spans="1:14">
      <c r="A35" s="2"/>
      <c r="B35" s="79" t="s">
        <v>59</v>
      </c>
      <c r="C35" s="24" t="s">
        <v>72</v>
      </c>
      <c r="D35" s="25">
        <v>0.15</v>
      </c>
      <c r="E35" s="25"/>
      <c r="F35" s="33"/>
      <c r="G35" s="33"/>
      <c r="H35" s="34"/>
      <c r="I35" s="34"/>
      <c r="J35" s="34"/>
      <c r="K35" s="34"/>
      <c r="L35" s="34"/>
      <c r="M35" s="33"/>
      <c r="N35" s="24"/>
    </row>
    <row r="36" hidden="1" outlineLevel="1" spans="1:14">
      <c r="A36" s="2"/>
      <c r="B36" s="79" t="s">
        <v>59</v>
      </c>
      <c r="C36" s="24" t="s">
        <v>73</v>
      </c>
      <c r="D36" s="25">
        <v>0.2</v>
      </c>
      <c r="E36" s="25"/>
      <c r="F36" s="33"/>
      <c r="G36" s="33"/>
      <c r="H36" s="34"/>
      <c r="I36" s="34"/>
      <c r="J36" s="34"/>
      <c r="K36" s="34"/>
      <c r="L36" s="34"/>
      <c r="M36" s="33"/>
      <c r="N36" s="24"/>
    </row>
    <row r="37" hidden="1" outlineLevel="1" spans="1:14">
      <c r="A37" s="2"/>
      <c r="B37" s="21"/>
      <c r="C37" s="24"/>
      <c r="D37" s="25"/>
      <c r="E37" s="25"/>
      <c r="F37" s="33"/>
      <c r="G37" s="33"/>
      <c r="H37" s="34"/>
      <c r="I37" s="34"/>
      <c r="J37" s="34"/>
      <c r="K37" s="34"/>
      <c r="L37" s="34"/>
      <c r="M37" s="33"/>
      <c r="N37" s="24"/>
    </row>
    <row r="38" hidden="1" outlineLevel="1" spans="1:14">
      <c r="A38" s="2"/>
      <c r="B38" s="21">
        <v>3</v>
      </c>
      <c r="C38" s="24" t="s">
        <v>74</v>
      </c>
      <c r="D38" s="25"/>
      <c r="E38" s="25"/>
      <c r="F38" s="33"/>
      <c r="G38" s="33"/>
      <c r="H38" s="34"/>
      <c r="I38" s="34"/>
      <c r="J38" s="34"/>
      <c r="K38" s="34"/>
      <c r="L38" s="34"/>
      <c r="M38" s="33"/>
      <c r="N38" s="24"/>
    </row>
    <row r="39" hidden="1" outlineLevel="1" spans="1:14">
      <c r="A39" s="2"/>
      <c r="B39" s="79" t="s">
        <v>59</v>
      </c>
      <c r="C39" s="24" t="s">
        <v>75</v>
      </c>
      <c r="D39" s="25"/>
      <c r="E39" s="25"/>
      <c r="F39" s="33"/>
      <c r="G39" s="33"/>
      <c r="H39" s="34"/>
      <c r="I39" s="34"/>
      <c r="J39" s="34"/>
      <c r="K39" s="34"/>
      <c r="L39" s="34"/>
      <c r="M39" s="33"/>
      <c r="N39" s="24"/>
    </row>
    <row r="40" hidden="1" outlineLevel="1" spans="1:14">
      <c r="A40" s="2"/>
      <c r="B40" s="79" t="s">
        <v>59</v>
      </c>
      <c r="C40" s="24" t="s">
        <v>76</v>
      </c>
      <c r="D40" s="25"/>
      <c r="E40" s="25"/>
      <c r="F40" s="33"/>
      <c r="G40" s="33"/>
      <c r="H40" s="34"/>
      <c r="I40" s="34"/>
      <c r="J40" s="34"/>
      <c r="K40" s="34"/>
      <c r="L40" s="34"/>
      <c r="M40" s="33"/>
      <c r="N40" s="24"/>
    </row>
    <row r="41" hidden="1" outlineLevel="1" spans="1:14">
      <c r="A41" s="2"/>
      <c r="B41" s="79" t="s">
        <v>59</v>
      </c>
      <c r="C41" s="24"/>
      <c r="D41" s="25"/>
      <c r="E41" s="25"/>
      <c r="F41" s="33"/>
      <c r="G41" s="33"/>
      <c r="H41" s="34"/>
      <c r="I41" s="34"/>
      <c r="J41" s="34"/>
      <c r="K41" s="34"/>
      <c r="L41" s="34"/>
      <c r="M41" s="33"/>
      <c r="N41" s="24"/>
    </row>
    <row r="42" hidden="1" outlineLevel="1" spans="1:14">
      <c r="A42" s="2"/>
      <c r="B42" s="21"/>
      <c r="C42" s="24"/>
      <c r="D42" s="25"/>
      <c r="E42" s="25"/>
      <c r="F42" s="33"/>
      <c r="G42" s="33"/>
      <c r="H42" s="34"/>
      <c r="I42" s="34"/>
      <c r="J42" s="34"/>
      <c r="K42" s="34"/>
      <c r="L42" s="34"/>
      <c r="M42" s="33"/>
      <c r="N42" s="24"/>
    </row>
    <row r="43" s="1" customFormat="1" collapsed="1" spans="1:14">
      <c r="A43" s="14"/>
      <c r="B43" s="17" t="s">
        <v>77</v>
      </c>
      <c r="C43" s="18" t="s">
        <v>78</v>
      </c>
      <c r="D43" s="19">
        <f>D44</f>
        <v>0.25</v>
      </c>
      <c r="E43" s="19"/>
      <c r="F43" s="31"/>
      <c r="G43" s="31"/>
      <c r="H43" s="37"/>
      <c r="I43" s="37"/>
      <c r="J43" s="37"/>
      <c r="K43" s="37"/>
      <c r="L43" s="37"/>
      <c r="M43" s="31">
        <f>M44</f>
        <v>21</v>
      </c>
      <c r="N43" s="18"/>
    </row>
    <row r="44" spans="1:14">
      <c r="A44" s="2" t="s">
        <v>79</v>
      </c>
      <c r="B44" s="21">
        <v>1</v>
      </c>
      <c r="C44" s="22" t="str">
        <f>VLOOKUP($A44,PERTANYAAN!$A$18:$E$71,3,0)</f>
        <v>Staff</v>
      </c>
      <c r="D44" s="23">
        <f>VLOOKUP($A44,PERTANYAAN!$A$18:$E$71,5,0)</f>
        <v>0.25</v>
      </c>
      <c r="E44" s="25"/>
      <c r="F44" s="33"/>
      <c r="G44" s="33"/>
      <c r="H44" s="34"/>
      <c r="I44" s="34"/>
      <c r="J44" s="34"/>
      <c r="K44" s="34"/>
      <c r="L44" s="34"/>
      <c r="M44" s="33">
        <f>SUM(M45:M48)</f>
        <v>21</v>
      </c>
      <c r="N44" s="24"/>
    </row>
    <row r="45" spans="1:14">
      <c r="A45" s="20" t="s">
        <v>81</v>
      </c>
      <c r="B45" s="79" t="s">
        <v>59</v>
      </c>
      <c r="C45" s="22" t="str">
        <f>VLOOKUP($A45,PERTANYAAN!$A$18:$E$71,3,0)</f>
        <v>Kepemimpinan</v>
      </c>
      <c r="D45" s="23">
        <f>VLOOKUP($A45,PERTANYAAN!$A$18:$E$71,5,0)</f>
        <v>0.025</v>
      </c>
      <c r="E45" s="25"/>
      <c r="F45" s="33"/>
      <c r="G45" s="33"/>
      <c r="H45" s="34"/>
      <c r="I45" s="34"/>
      <c r="J45" s="34" t="s">
        <v>37</v>
      </c>
      <c r="K45" s="34"/>
      <c r="L45" s="34"/>
      <c r="M45" s="33">
        <f>IF(H45="V",$D45*H$15,IF(I45="V",$D45*I$15,IF(J45="V",$D45*J$15,IF(K45="V",$D45*K$15,IF(L45="V",$D45*L$15,0)))))*100</f>
        <v>1.5</v>
      </c>
      <c r="N45" s="24"/>
    </row>
    <row r="46" spans="1:14">
      <c r="A46" s="20" t="s">
        <v>84</v>
      </c>
      <c r="B46" s="79" t="s">
        <v>59</v>
      </c>
      <c r="C46" s="22" t="str">
        <f>VLOOKUP($A46,PERTANYAAN!$A$18:$E$71,3,0)</f>
        <v>Komunikasi</v>
      </c>
      <c r="D46" s="23">
        <f>VLOOKUP($A46,PERTANYAAN!$A$18:$E$71,5,0)</f>
        <v>0.1</v>
      </c>
      <c r="E46" s="25"/>
      <c r="F46" s="33"/>
      <c r="G46" s="33"/>
      <c r="H46" s="34"/>
      <c r="I46" s="34"/>
      <c r="J46" s="34"/>
      <c r="K46" s="34" t="s">
        <v>37</v>
      </c>
      <c r="L46" s="34"/>
      <c r="M46" s="33">
        <f>IF(H46="V",$D46*H$15,IF(I46="V",$D46*I$15,IF(J46="V",$D46*J$15,IF(K46="V",$D46*K$15,IF(L46="V",$D46*L$15,0)))))*100</f>
        <v>8</v>
      </c>
      <c r="N46" s="24"/>
    </row>
    <row r="47" spans="1:14">
      <c r="A47" s="20" t="s">
        <v>87</v>
      </c>
      <c r="B47" s="79" t="s">
        <v>59</v>
      </c>
      <c r="C47" s="22" t="str">
        <f>VLOOKUP($A47,PERTANYAAN!$A$18:$E$71,3,0)</f>
        <v>Patuh pada Peraturan / Commitment</v>
      </c>
      <c r="D47" s="23">
        <f>VLOOKUP($A47,PERTANYAAN!$A$18:$E$71,5,0)</f>
        <v>0.05</v>
      </c>
      <c r="E47" s="25"/>
      <c r="F47" s="33"/>
      <c r="G47" s="33"/>
      <c r="H47" s="34"/>
      <c r="I47" s="34"/>
      <c r="J47" s="34"/>
      <c r="K47" s="34" t="s">
        <v>37</v>
      </c>
      <c r="L47" s="34"/>
      <c r="M47" s="33">
        <f>IF(H47="V",$D47*H$15,IF(I47="V",$D47*I$15,IF(J47="V",$D47*J$15,IF(K47="V",$D47*K$15,IF(L47="V",$D47*L$15,0)))))*100</f>
        <v>4</v>
      </c>
      <c r="N47" s="24"/>
    </row>
    <row r="48" spans="1:14">
      <c r="A48" s="20" t="s">
        <v>90</v>
      </c>
      <c r="B48" s="79" t="s">
        <v>59</v>
      </c>
      <c r="C48" s="22" t="str">
        <f>VLOOKUP($A48,PERTANYAAN!$A$18:$E$71,3,0)</f>
        <v>Determinasi thd tekanan</v>
      </c>
      <c r="D48" s="23">
        <f>VLOOKUP($A48,PERTANYAAN!$A$18:$E$71,5,0)</f>
        <v>0.075</v>
      </c>
      <c r="E48" s="25"/>
      <c r="F48" s="33"/>
      <c r="G48" s="33"/>
      <c r="H48" s="34"/>
      <c r="I48" s="34"/>
      <c r="J48" s="34"/>
      <c r="K48" s="34"/>
      <c r="L48" s="34" t="s">
        <v>37</v>
      </c>
      <c r="M48" s="33">
        <f>IF(H48="V",$D48*H$15,IF(I48="V",$D48*I$15,IF(J48="V",$D48*J$15,IF(K48="V",$D48*K$15,IF(L48="V",$D48*L$15,0)))))*100</f>
        <v>7.5</v>
      </c>
      <c r="N48" s="24"/>
    </row>
    <row r="49" spans="1:14">
      <c r="A49" s="2"/>
      <c r="B49" s="21"/>
      <c r="C49" s="24"/>
      <c r="D49" s="25"/>
      <c r="E49" s="25"/>
      <c r="F49" s="33"/>
      <c r="G49" s="33"/>
      <c r="H49" s="34"/>
      <c r="I49" s="34"/>
      <c r="J49" s="34"/>
      <c r="K49" s="34"/>
      <c r="L49" s="34"/>
      <c r="M49" s="33"/>
      <c r="N49" s="24"/>
    </row>
    <row r="50" hidden="1" outlineLevel="1" spans="1:14">
      <c r="A50" s="2"/>
      <c r="B50" s="21">
        <v>2</v>
      </c>
      <c r="C50" s="24" t="s">
        <v>93</v>
      </c>
      <c r="D50" s="25"/>
      <c r="E50" s="25"/>
      <c r="F50" s="33"/>
      <c r="G50" s="33"/>
      <c r="H50" s="34"/>
      <c r="I50" s="34"/>
      <c r="J50" s="34"/>
      <c r="K50" s="34"/>
      <c r="L50" s="34"/>
      <c r="M50" s="33"/>
      <c r="N50" s="24"/>
    </row>
    <row r="51" hidden="1" outlineLevel="1" spans="1:14">
      <c r="A51" s="2"/>
      <c r="B51" s="79" t="s">
        <v>59</v>
      </c>
      <c r="C51" s="24" t="s">
        <v>82</v>
      </c>
      <c r="D51" s="25"/>
      <c r="E51" s="25"/>
      <c r="F51" s="33"/>
      <c r="G51" s="33"/>
      <c r="H51" s="34"/>
      <c r="I51" s="34"/>
      <c r="J51" s="34"/>
      <c r="K51" s="34"/>
      <c r="L51" s="34"/>
      <c r="M51" s="33"/>
      <c r="N51" s="24"/>
    </row>
    <row r="52" hidden="1" outlineLevel="1" spans="1:14">
      <c r="A52" s="2"/>
      <c r="B52" s="79" t="s">
        <v>59</v>
      </c>
      <c r="C52" s="24" t="s">
        <v>94</v>
      </c>
      <c r="D52" s="25"/>
      <c r="E52" s="25"/>
      <c r="F52" s="33"/>
      <c r="G52" s="33"/>
      <c r="H52" s="34"/>
      <c r="I52" s="34"/>
      <c r="J52" s="34"/>
      <c r="K52" s="34"/>
      <c r="L52" s="34"/>
      <c r="M52" s="33"/>
      <c r="N52" s="24"/>
    </row>
    <row r="53" hidden="1" outlineLevel="1" spans="1:14">
      <c r="A53" s="2"/>
      <c r="B53" s="79" t="s">
        <v>59</v>
      </c>
      <c r="C53" s="24" t="s">
        <v>95</v>
      </c>
      <c r="D53" s="25"/>
      <c r="E53" s="25"/>
      <c r="F53" s="33"/>
      <c r="G53" s="33"/>
      <c r="H53" s="34"/>
      <c r="I53" s="34"/>
      <c r="J53" s="34"/>
      <c r="K53" s="34"/>
      <c r="L53" s="34"/>
      <c r="M53" s="33"/>
      <c r="N53" s="24"/>
    </row>
    <row r="54" hidden="1" outlineLevel="1" spans="1:14">
      <c r="A54" s="2"/>
      <c r="B54" s="21"/>
      <c r="C54" s="24"/>
      <c r="D54" s="25"/>
      <c r="E54" s="25"/>
      <c r="F54" s="33"/>
      <c r="G54" s="33"/>
      <c r="H54" s="34"/>
      <c r="I54" s="34"/>
      <c r="J54" s="34"/>
      <c r="K54" s="34"/>
      <c r="L54" s="34"/>
      <c r="M54" s="33"/>
      <c r="N54" s="24"/>
    </row>
    <row r="55" hidden="1" outlineLevel="1" spans="1:14">
      <c r="A55" s="2"/>
      <c r="B55" s="21">
        <v>3</v>
      </c>
      <c r="C55" s="24" t="s">
        <v>96</v>
      </c>
      <c r="D55" s="25"/>
      <c r="E55" s="25"/>
      <c r="F55" s="33"/>
      <c r="G55" s="33"/>
      <c r="H55" s="34"/>
      <c r="I55" s="34"/>
      <c r="J55" s="34"/>
      <c r="K55" s="34"/>
      <c r="L55" s="34"/>
      <c r="M55" s="33"/>
      <c r="N55" s="24"/>
    </row>
    <row r="56" hidden="1" outlineLevel="1" spans="1:14">
      <c r="A56" s="2"/>
      <c r="B56" s="79" t="s">
        <v>59</v>
      </c>
      <c r="C56" s="24" t="s">
        <v>82</v>
      </c>
      <c r="D56" s="25"/>
      <c r="E56" s="25"/>
      <c r="F56" s="33"/>
      <c r="G56" s="33"/>
      <c r="H56" s="34"/>
      <c r="I56" s="34"/>
      <c r="J56" s="34"/>
      <c r="K56" s="34"/>
      <c r="L56" s="34"/>
      <c r="M56" s="33"/>
      <c r="N56" s="24"/>
    </row>
    <row r="57" hidden="1" outlineLevel="1" spans="1:14">
      <c r="A57" s="2"/>
      <c r="B57" s="79" t="s">
        <v>59</v>
      </c>
      <c r="C57" s="24" t="s">
        <v>95</v>
      </c>
      <c r="D57" s="25"/>
      <c r="E57" s="25"/>
      <c r="F57" s="33"/>
      <c r="G57" s="33"/>
      <c r="H57" s="34"/>
      <c r="I57" s="34"/>
      <c r="J57" s="34"/>
      <c r="K57" s="34"/>
      <c r="L57" s="34"/>
      <c r="M57" s="33"/>
      <c r="N57" s="24"/>
    </row>
    <row r="58" hidden="1" outlineLevel="1" spans="1:14">
      <c r="A58" s="2"/>
      <c r="B58" s="79" t="s">
        <v>59</v>
      </c>
      <c r="C58" s="24" t="s">
        <v>97</v>
      </c>
      <c r="D58" s="25"/>
      <c r="E58" s="25"/>
      <c r="F58" s="33"/>
      <c r="G58" s="33"/>
      <c r="H58" s="34"/>
      <c r="I58" s="34"/>
      <c r="J58" s="34"/>
      <c r="K58" s="34"/>
      <c r="L58" s="34"/>
      <c r="M58" s="33"/>
      <c r="N58" s="24"/>
    </row>
    <row r="59" hidden="1" outlineLevel="1" spans="1:14">
      <c r="A59" s="2"/>
      <c r="B59" s="21"/>
      <c r="C59" s="24"/>
      <c r="D59" s="25"/>
      <c r="E59" s="25"/>
      <c r="F59" s="33"/>
      <c r="G59" s="33"/>
      <c r="H59" s="34"/>
      <c r="I59" s="34"/>
      <c r="J59" s="34"/>
      <c r="K59" s="34"/>
      <c r="L59" s="34"/>
      <c r="M59" s="33"/>
      <c r="N59" s="24"/>
    </row>
    <row r="60" s="1" customFormat="1" collapsed="1" spans="1:14">
      <c r="A60" s="14"/>
      <c r="B60" s="17" t="s">
        <v>98</v>
      </c>
      <c r="C60" s="18" t="s">
        <v>99</v>
      </c>
      <c r="D60" s="19">
        <f>SUM(D61:D64)</f>
        <v>0.15</v>
      </c>
      <c r="E60" s="19"/>
      <c r="F60" s="31"/>
      <c r="G60" s="31"/>
      <c r="H60" s="37"/>
      <c r="I60" s="37"/>
      <c r="J60" s="37"/>
      <c r="K60" s="37"/>
      <c r="L60" s="37"/>
      <c r="M60" s="31">
        <f>SUM(M61:M64)</f>
        <v>12</v>
      </c>
      <c r="N60" s="18"/>
    </row>
    <row r="61" spans="1:14">
      <c r="A61" s="20" t="s">
        <v>100</v>
      </c>
      <c r="B61" s="79" t="s">
        <v>59</v>
      </c>
      <c r="C61" s="22" t="str">
        <f>VLOOKUP($A61,PERTANYAAN!$A$18:$E$71,3,0)</f>
        <v>Antusiasme / Keinginan bergabung</v>
      </c>
      <c r="D61" s="23">
        <f>VLOOKUP($A61,PERTANYAAN!$A$18:$E$71,5,0)</f>
        <v>0.075</v>
      </c>
      <c r="E61" s="25"/>
      <c r="F61" s="33"/>
      <c r="G61" s="33"/>
      <c r="H61" s="34"/>
      <c r="I61" s="34"/>
      <c r="J61" s="34"/>
      <c r="K61" s="34" t="s">
        <v>37</v>
      </c>
      <c r="L61" s="34"/>
      <c r="M61" s="33">
        <f t="shared" ref="M61:M63" si="2">IF(H61="V",$D61*H$15,IF(I61="V",$D61*I$15,IF(J61="V",$D61*J$15,IF(K61="V",$D61*K$15,IF(L61="V",$D61*L$15,0)))))*100</f>
        <v>6</v>
      </c>
      <c r="N61" s="24"/>
    </row>
    <row r="62" spans="1:14">
      <c r="A62" s="20" t="s">
        <v>103</v>
      </c>
      <c r="B62" s="79" t="s">
        <v>59</v>
      </c>
      <c r="C62" s="22" t="str">
        <f>VLOOKUP($A62,PERTANYAAN!$A$18:$E$71,3,0)</f>
        <v>Inisiatif</v>
      </c>
      <c r="D62" s="23">
        <f>VLOOKUP($A62,PERTANYAAN!$A$18:$E$71,5,0)</f>
        <v>0.05</v>
      </c>
      <c r="E62" s="25"/>
      <c r="F62" s="33"/>
      <c r="G62" s="33"/>
      <c r="H62" s="34"/>
      <c r="I62" s="34"/>
      <c r="J62" s="34"/>
      <c r="K62" s="34" t="s">
        <v>37</v>
      </c>
      <c r="L62" s="34"/>
      <c r="M62" s="33">
        <f t="shared" si="2"/>
        <v>4</v>
      </c>
      <c r="N62" s="24"/>
    </row>
    <row r="63" spans="1:14">
      <c r="A63" s="20" t="s">
        <v>106</v>
      </c>
      <c r="B63" s="79" t="s">
        <v>59</v>
      </c>
      <c r="C63" s="22" t="str">
        <f>VLOOKUP($A63,PERTANYAAN!$A$18:$E$71,3,0)</f>
        <v>Adaptif</v>
      </c>
      <c r="D63" s="23">
        <f>VLOOKUP($A63,PERTANYAAN!$A$18:$E$71,5,0)</f>
        <v>0.025</v>
      </c>
      <c r="E63" s="25"/>
      <c r="F63" s="33"/>
      <c r="G63" s="33"/>
      <c r="H63" s="34"/>
      <c r="I63" s="34"/>
      <c r="J63" s="34"/>
      <c r="K63" s="34" t="s">
        <v>37</v>
      </c>
      <c r="L63" s="34"/>
      <c r="M63" s="33">
        <f t="shared" si="2"/>
        <v>2</v>
      </c>
      <c r="N63" s="24"/>
    </row>
    <row r="64" spans="1:14">
      <c r="A64" s="2"/>
      <c r="B64" s="21"/>
      <c r="C64" s="24"/>
      <c r="D64" s="25"/>
      <c r="E64" s="25"/>
      <c r="F64" s="33"/>
      <c r="G64" s="33"/>
      <c r="H64" s="34"/>
      <c r="I64" s="34"/>
      <c r="J64" s="34"/>
      <c r="K64" s="34"/>
      <c r="L64" s="34"/>
      <c r="M64" s="33"/>
      <c r="N64" s="24"/>
    </row>
    <row r="65" s="1" customFormat="1" spans="1:14">
      <c r="A65" s="14"/>
      <c r="B65" s="17" t="s">
        <v>109</v>
      </c>
      <c r="C65" s="18" t="s">
        <v>110</v>
      </c>
      <c r="D65" s="19">
        <f>SUM(D66:D68)</f>
        <v>0.05</v>
      </c>
      <c r="E65" s="19"/>
      <c r="F65" s="31"/>
      <c r="G65" s="31"/>
      <c r="H65" s="37"/>
      <c r="I65" s="37"/>
      <c r="J65" s="37"/>
      <c r="K65" s="37"/>
      <c r="L65" s="37"/>
      <c r="M65" s="31">
        <f>SUM(M66:M68)</f>
        <v>2.2</v>
      </c>
      <c r="N65" s="18"/>
    </row>
    <row r="66" spans="1:14">
      <c r="A66" s="20" t="s">
        <v>111</v>
      </c>
      <c r="B66" s="79" t="s">
        <v>59</v>
      </c>
      <c r="C66" s="22" t="str">
        <f>VLOOKUP($A66,PERTANYAAN!$A$18:$E$71,3,0)</f>
        <v>Ekspektasi Salary (Mengukur Budget &amp; Skill)</v>
      </c>
      <c r="D66" s="23">
        <f>VLOOKUP($A66,PERTANYAAN!$A$18:$E$71,5,0)</f>
        <v>0.04</v>
      </c>
      <c r="E66" s="25"/>
      <c r="F66" s="33"/>
      <c r="G66" s="33"/>
      <c r="H66" s="34"/>
      <c r="I66" s="34" t="s">
        <v>37</v>
      </c>
      <c r="J66" s="34"/>
      <c r="K66" s="34"/>
      <c r="L66" s="34"/>
      <c r="M66" s="33">
        <f t="shared" ref="M66:M67" si="3">IF(H66="V",$D66*H$15,IF(I66="V",$D66*I$15,IF(J66="V",$D66*J$15,IF(K66="V",$D66*K$15,IF(L66="V",$D66*L$15,0)))))*100</f>
        <v>1.6</v>
      </c>
      <c r="N66" s="24" t="s">
        <v>149</v>
      </c>
    </row>
    <row r="67" spans="1:14">
      <c r="A67" s="20" t="s">
        <v>114</v>
      </c>
      <c r="B67" s="79" t="s">
        <v>59</v>
      </c>
      <c r="C67" s="22" t="str">
        <f>VLOOKUP($A67,PERTANYAAN!$A$18:$E$71,3,0)</f>
        <v>Tujuan Karir</v>
      </c>
      <c r="D67" s="23">
        <f>VLOOKUP($A67,PERTANYAAN!$A$18:$E$71,5,0)</f>
        <v>0.01</v>
      </c>
      <c r="E67" s="25"/>
      <c r="F67" s="33"/>
      <c r="G67" s="33"/>
      <c r="H67" s="34"/>
      <c r="I67" s="34"/>
      <c r="J67" s="34" t="s">
        <v>37</v>
      </c>
      <c r="K67" s="34"/>
      <c r="L67" s="34"/>
      <c r="M67" s="33">
        <f t="shared" si="3"/>
        <v>0.6</v>
      </c>
      <c r="N67" s="24"/>
    </row>
    <row r="68" spans="1:14">
      <c r="A68" s="20"/>
      <c r="B68" s="21"/>
      <c r="C68" s="24"/>
      <c r="D68" s="25"/>
      <c r="E68" s="25"/>
      <c r="F68" s="33"/>
      <c r="G68" s="33"/>
      <c r="H68" s="34"/>
      <c r="I68" s="34"/>
      <c r="J68" s="34"/>
      <c r="K68" s="34"/>
      <c r="L68" s="34"/>
      <c r="M68" s="33"/>
      <c r="N68" s="24"/>
    </row>
    <row r="69" s="1" customFormat="1" spans="1:14">
      <c r="A69" s="14"/>
      <c r="B69" s="17" t="s">
        <v>117</v>
      </c>
      <c r="C69" s="18" t="s">
        <v>118</v>
      </c>
      <c r="D69" s="19">
        <f>SUM(D70:D70)</f>
        <v>0.05</v>
      </c>
      <c r="E69" s="19"/>
      <c r="F69" s="31"/>
      <c r="G69" s="31"/>
      <c r="H69" s="37"/>
      <c r="I69" s="37"/>
      <c r="J69" s="37"/>
      <c r="K69" s="37"/>
      <c r="L69" s="37"/>
      <c r="M69" s="31">
        <f>SUM(M70)</f>
        <v>4</v>
      </c>
      <c r="N69" s="18"/>
    </row>
    <row r="70" spans="1:17">
      <c r="A70" s="20" t="s">
        <v>119</v>
      </c>
      <c r="B70" s="79" t="s">
        <v>59</v>
      </c>
      <c r="C70" s="22" t="str">
        <f>VLOOKUP($A70,PERTANYAAN!$A$18:$E$71,3,0)</f>
        <v>Pertanyaan Spesifik User</v>
      </c>
      <c r="D70" s="23">
        <f>VLOOKUP($A70,PERTANYAAN!$A$18:$E$71,5,0)</f>
        <v>0.05</v>
      </c>
      <c r="E70" s="25"/>
      <c r="F70" s="33"/>
      <c r="G70" s="33"/>
      <c r="H70" s="34"/>
      <c r="I70" s="34"/>
      <c r="J70" s="34"/>
      <c r="K70" s="34" t="s">
        <v>37</v>
      </c>
      <c r="L70" s="34"/>
      <c r="M70" s="33">
        <f t="shared" ref="M70" si="4">IF(H70="V",$D70*H$15,IF(I70="V",$D70*I$15,IF(J70="V",$D70*J$15,IF(K70="V",$D70*K$15,IF(L70="V",$D70*L$15,0)))))*100</f>
        <v>4</v>
      </c>
      <c r="N70" s="24"/>
      <c r="P70" t="s">
        <v>150</v>
      </c>
      <c r="Q70" t="s">
        <v>151</v>
      </c>
    </row>
    <row r="71" spans="2:17">
      <c r="B71" s="43"/>
      <c r="C71" s="44"/>
      <c r="D71" s="45"/>
      <c r="E71" s="45"/>
      <c r="F71" s="46"/>
      <c r="G71" s="46"/>
      <c r="H71" s="47"/>
      <c r="I71" s="47"/>
      <c r="J71" s="47"/>
      <c r="K71" s="47"/>
      <c r="L71" s="47"/>
      <c r="M71" s="46"/>
      <c r="N71" s="44"/>
      <c r="P71" t="s">
        <v>152</v>
      </c>
      <c r="Q71" s="50" t="s">
        <v>153</v>
      </c>
    </row>
    <row r="72" spans="17:17">
      <c r="Q72" s="50" t="s">
        <v>154</v>
      </c>
    </row>
    <row r="73" spans="8:8">
      <c r="H73" s="48" t="s">
        <v>23</v>
      </c>
    </row>
    <row r="74" spans="8:10">
      <c r="H74" s="5" t="s">
        <v>26</v>
      </c>
      <c r="I74" s="5" t="s">
        <v>3</v>
      </c>
      <c r="J74" s="49" t="s">
        <v>122</v>
      </c>
    </row>
    <row r="75" spans="8:10">
      <c r="H75" s="5" t="s">
        <v>27</v>
      </c>
      <c r="I75" s="5" t="s">
        <v>3</v>
      </c>
      <c r="J75" s="49" t="s">
        <v>123</v>
      </c>
    </row>
    <row r="76" spans="8:10">
      <c r="H76" s="5" t="s">
        <v>28</v>
      </c>
      <c r="I76" s="5" t="s">
        <v>3</v>
      </c>
      <c r="J76" s="49" t="s">
        <v>124</v>
      </c>
    </row>
    <row r="77" spans="8:10">
      <c r="H77" s="5" t="s">
        <v>29</v>
      </c>
      <c r="I77" s="5" t="s">
        <v>3</v>
      </c>
      <c r="J77" s="49" t="s">
        <v>125</v>
      </c>
    </row>
    <row r="78" spans="8:10">
      <c r="H78" s="5" t="s">
        <v>30</v>
      </c>
      <c r="I78" s="5" t="s">
        <v>3</v>
      </c>
      <c r="J78" s="49" t="s">
        <v>126</v>
      </c>
    </row>
  </sheetData>
  <mergeCells count="8">
    <mergeCell ref="F13:G13"/>
    <mergeCell ref="H13:L13"/>
    <mergeCell ref="A13:A14"/>
    <mergeCell ref="B13:B14"/>
    <mergeCell ref="C13:C14"/>
    <mergeCell ref="D13:D14"/>
    <mergeCell ref="M13:M14"/>
    <mergeCell ref="N13:N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Q78"/>
  <sheetViews>
    <sheetView zoomScale="55" zoomScaleNormal="55" workbookViewId="0">
      <pane xSplit="1" ySplit="14" topLeftCell="B34" activePane="bottomRight" state="frozen"/>
      <selection/>
      <selection pane="topRight"/>
      <selection pane="bottomLeft"/>
      <selection pane="bottomRight" activeCell="F84" sqref="F84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8.85840707964602" style="3"/>
    <col min="5" max="5" width="1.70796460176991" style="3" customWidth="1"/>
    <col min="6" max="7" width="8.85840707964602" style="4"/>
    <col min="8" max="12" width="8.85840707964602" style="5"/>
    <col min="13" max="13" width="8.85840707964602" style="4"/>
    <col min="14" max="14" width="22.2035398230088" customWidth="1"/>
    <col min="16" max="16" width="10.3805309734513" customWidth="1"/>
  </cols>
  <sheetData>
    <row r="1" spans="1:1">
      <c r="A1" s="1" t="s">
        <v>0</v>
      </c>
    </row>
    <row r="2" spans="1:1">
      <c r="A2" s="1" t="s">
        <v>1</v>
      </c>
    </row>
    <row r="5" spans="1:3">
      <c r="A5" s="1" t="s">
        <v>2</v>
      </c>
      <c r="B5" s="2" t="s">
        <v>3</v>
      </c>
      <c r="C5" s="1" t="s">
        <v>155</v>
      </c>
    </row>
    <row r="6" spans="1:3">
      <c r="A6" s="1" t="s">
        <v>4</v>
      </c>
      <c r="B6" s="2" t="s">
        <v>3</v>
      </c>
      <c r="C6" t="s">
        <v>5</v>
      </c>
    </row>
    <row r="7" spans="1:3">
      <c r="A7" s="1" t="s">
        <v>6</v>
      </c>
      <c r="B7" s="2" t="s">
        <v>3</v>
      </c>
      <c r="C7" t="s">
        <v>146</v>
      </c>
    </row>
    <row r="8" spans="1:3">
      <c r="A8" s="1" t="s">
        <v>8</v>
      </c>
      <c r="B8" s="2" t="s">
        <v>3</v>
      </c>
      <c r="C8" t="s">
        <v>9</v>
      </c>
    </row>
    <row r="9" spans="1:2">
      <c r="A9" s="1" t="s">
        <v>10</v>
      </c>
      <c r="B9" s="2" t="s">
        <v>3</v>
      </c>
    </row>
    <row r="10" spans="1:4">
      <c r="A10" s="1" t="s">
        <v>142</v>
      </c>
      <c r="B10" s="2" t="s">
        <v>3</v>
      </c>
      <c r="C10" s="1" t="s">
        <v>147</v>
      </c>
      <c r="D10" s="6" t="s">
        <v>148</v>
      </c>
    </row>
    <row r="11" spans="1:3">
      <c r="A11" s="1" t="s">
        <v>14</v>
      </c>
      <c r="B11" s="2" t="s">
        <v>3</v>
      </c>
      <c r="C11" s="7">
        <f>M16</f>
        <v>62.2</v>
      </c>
    </row>
    <row r="13" s="1" customFormat="1" spans="1:14">
      <c r="A13" s="8" t="s">
        <v>15</v>
      </c>
      <c r="B13" s="9" t="s">
        <v>16</v>
      </c>
      <c r="C13" s="9" t="s">
        <v>17</v>
      </c>
      <c r="D13" s="10" t="s">
        <v>19</v>
      </c>
      <c r="E13" s="10"/>
      <c r="F13" s="26" t="s">
        <v>20</v>
      </c>
      <c r="G13" s="26"/>
      <c r="H13" s="9" t="s">
        <v>21</v>
      </c>
      <c r="I13" s="9"/>
      <c r="J13" s="9"/>
      <c r="K13" s="9"/>
      <c r="L13" s="9"/>
      <c r="M13" s="26" t="s">
        <v>22</v>
      </c>
      <c r="N13" s="38" t="s">
        <v>23</v>
      </c>
    </row>
    <row r="14" s="1" customFormat="1" spans="1:14">
      <c r="A14" s="8"/>
      <c r="B14" s="9"/>
      <c r="C14" s="11"/>
      <c r="D14" s="12"/>
      <c r="E14" s="12"/>
      <c r="F14" s="26" t="s">
        <v>24</v>
      </c>
      <c r="G14" s="26" t="s">
        <v>25</v>
      </c>
      <c r="H14" s="9" t="s">
        <v>26</v>
      </c>
      <c r="I14" s="9" t="s">
        <v>27</v>
      </c>
      <c r="J14" s="9" t="s">
        <v>28</v>
      </c>
      <c r="K14" s="9" t="s">
        <v>29</v>
      </c>
      <c r="L14" s="9" t="s">
        <v>30</v>
      </c>
      <c r="M14" s="26"/>
      <c r="N14" s="38"/>
    </row>
    <row r="15" s="1" customFormat="1" spans="2:14">
      <c r="B15" s="13"/>
      <c r="C15" s="13"/>
      <c r="D15" s="13"/>
      <c r="E15" s="27"/>
      <c r="F15" s="28"/>
      <c r="G15" s="28"/>
      <c r="H15" s="29">
        <v>0.2</v>
      </c>
      <c r="I15" s="29">
        <v>0.4</v>
      </c>
      <c r="J15" s="29">
        <v>0.6</v>
      </c>
      <c r="K15" s="29">
        <v>0.8</v>
      </c>
      <c r="L15" s="29">
        <v>1</v>
      </c>
      <c r="M15" s="28"/>
      <c r="N15" s="39"/>
    </row>
    <row r="16" s="1" customFormat="1" spans="1:14">
      <c r="A16" s="14"/>
      <c r="B16" s="15"/>
      <c r="C16" s="16" t="s">
        <v>31</v>
      </c>
      <c r="D16" s="15"/>
      <c r="E16" s="15"/>
      <c r="F16" s="30"/>
      <c r="G16" s="30"/>
      <c r="H16" s="15"/>
      <c r="I16" s="15"/>
      <c r="J16" s="15"/>
      <c r="K16" s="15"/>
      <c r="L16" s="15"/>
      <c r="M16" s="40">
        <f>M17+M21+M27+M43+M60+M65+M69</f>
        <v>62.2</v>
      </c>
      <c r="N16" s="41"/>
    </row>
    <row r="17" spans="2:14">
      <c r="B17" s="17" t="s">
        <v>32</v>
      </c>
      <c r="C17" s="18" t="s">
        <v>144</v>
      </c>
      <c r="D17" s="19">
        <f>SUM(D18:D19)</f>
        <v>0.1</v>
      </c>
      <c r="E17" s="19"/>
      <c r="F17" s="31"/>
      <c r="G17" s="31"/>
      <c r="H17" s="32"/>
      <c r="I17" s="32"/>
      <c r="J17" s="32"/>
      <c r="K17" s="32"/>
      <c r="L17" s="32"/>
      <c r="M17" s="31">
        <f>SUM(M18:M20)</f>
        <v>0</v>
      </c>
      <c r="N17" s="42"/>
    </row>
    <row r="18" spans="1:14">
      <c r="A18" s="20" t="s">
        <v>34</v>
      </c>
      <c r="B18" s="21">
        <v>1</v>
      </c>
      <c r="C18" s="22" t="str">
        <f>VLOOKUP($A18,PERTANYAAN!$A$18:$E$71,3,0)</f>
        <v>Pengalaman di dalam Daniswara Group</v>
      </c>
      <c r="D18" s="23">
        <f>VLOOKUP($A18,PERTANYAAN!$A$18:$E$71,5,0)</f>
        <v>0.06</v>
      </c>
      <c r="E18" s="25"/>
      <c r="F18" s="33"/>
      <c r="G18" s="33" t="s">
        <v>37</v>
      </c>
      <c r="H18" s="34"/>
      <c r="I18" s="34"/>
      <c r="J18" s="34"/>
      <c r="K18" s="34"/>
      <c r="L18" s="34"/>
      <c r="M18" s="33">
        <f>IF(F18="V",D18*100,0)</f>
        <v>0</v>
      </c>
      <c r="N18" s="24"/>
    </row>
    <row r="19" spans="1:14">
      <c r="A19" s="20" t="s">
        <v>38</v>
      </c>
      <c r="B19" s="21">
        <f>B18+1</f>
        <v>2</v>
      </c>
      <c r="C19" s="22" t="str">
        <f>VLOOKUP($A19,PERTANYAAN!$A$18:$E$71,3,0)</f>
        <v>Pengalaman di luar Daniswara Group</v>
      </c>
      <c r="D19" s="23">
        <f>VLOOKUP($A19,PERTANYAAN!$A$18:$E$71,5,0)</f>
        <v>0.04</v>
      </c>
      <c r="E19" s="25"/>
      <c r="F19" s="33"/>
      <c r="G19" s="33" t="s">
        <v>37</v>
      </c>
      <c r="H19" s="34"/>
      <c r="I19" s="34"/>
      <c r="J19" s="34"/>
      <c r="K19" s="34"/>
      <c r="L19" s="34"/>
      <c r="M19" s="33">
        <f>IF(F19="V",D19*100,0)</f>
        <v>0</v>
      </c>
      <c r="N19" s="24"/>
    </row>
    <row r="20" spans="1:14">
      <c r="A20" s="2"/>
      <c r="B20" s="21"/>
      <c r="C20" s="24"/>
      <c r="D20" s="25"/>
      <c r="E20" s="25"/>
      <c r="F20" s="33"/>
      <c r="G20" s="33"/>
      <c r="H20" s="34"/>
      <c r="I20" s="34"/>
      <c r="J20" s="34"/>
      <c r="K20" s="34"/>
      <c r="L20" s="34"/>
      <c r="M20" s="33"/>
      <c r="N20" s="24"/>
    </row>
    <row r="21" spans="1:14">
      <c r="A21" s="2"/>
      <c r="B21" s="17" t="s">
        <v>29</v>
      </c>
      <c r="C21" s="18" t="s">
        <v>41</v>
      </c>
      <c r="D21" s="19">
        <f>SUM(D22:D25)</f>
        <v>0.05</v>
      </c>
      <c r="E21" s="19"/>
      <c r="F21" s="31"/>
      <c r="G21" s="31"/>
      <c r="H21" s="32"/>
      <c r="I21" s="32"/>
      <c r="J21" s="32"/>
      <c r="K21" s="32"/>
      <c r="L21" s="32"/>
      <c r="M21" s="31">
        <f>SUM(M22:M25)</f>
        <v>3</v>
      </c>
      <c r="N21" s="42"/>
    </row>
    <row r="22" spans="1:14">
      <c r="A22" s="20" t="s">
        <v>42</v>
      </c>
      <c r="B22" s="21">
        <v>1</v>
      </c>
      <c r="C22" s="22" t="str">
        <f>VLOOKUP($A22,PERTANYAAN!$A$18:$E$71,3,0)</f>
        <v>Identitas (KTP &amp; KK)</v>
      </c>
      <c r="D22" s="23">
        <f>VLOOKUP($A22,PERTANYAAN!$A$18:$E$71,5,0)</f>
        <v>0.01</v>
      </c>
      <c r="E22" s="25"/>
      <c r="F22" s="33" t="s">
        <v>37</v>
      </c>
      <c r="G22" s="33"/>
      <c r="H22" s="34"/>
      <c r="I22" s="34"/>
      <c r="J22" s="34"/>
      <c r="K22" s="34"/>
      <c r="L22" s="34"/>
      <c r="M22" s="33">
        <f>IF(F22="V",D22*100,0)</f>
        <v>1</v>
      </c>
      <c r="N22" s="24"/>
    </row>
    <row r="23" spans="1:14">
      <c r="A23" s="20" t="s">
        <v>45</v>
      </c>
      <c r="B23" s="21">
        <f>B22+1</f>
        <v>2</v>
      </c>
      <c r="C23" s="22" t="str">
        <f>VLOOKUP($A23,PERTANYAAN!$A$18:$E$71,3,0)</f>
        <v>SIM A (utk jabatan di Divisi Operasi)</v>
      </c>
      <c r="D23" s="23">
        <f>VLOOKUP($A23,PERTANYAAN!$A$18:$E$71,5,0)</f>
        <v>0.02</v>
      </c>
      <c r="E23" s="25"/>
      <c r="F23" s="33"/>
      <c r="G23" s="33" t="s">
        <v>37</v>
      </c>
      <c r="H23" s="34"/>
      <c r="I23" s="34"/>
      <c r="J23" s="34"/>
      <c r="K23" s="34"/>
      <c r="L23" s="34"/>
      <c r="M23" s="33">
        <f>IF(F23="V",D23*100,0)</f>
        <v>0</v>
      </c>
      <c r="N23" s="24"/>
    </row>
    <row r="24" spans="1:14">
      <c r="A24" s="20" t="s">
        <v>48</v>
      </c>
      <c r="B24" s="21">
        <f t="shared" ref="B24:B25" si="0">B23+1</f>
        <v>3</v>
      </c>
      <c r="C24" s="22" t="str">
        <f>VLOOKUP($A24,PERTANYAAN!$A$18:$E$71,3,0)</f>
        <v>SIM C</v>
      </c>
      <c r="D24" s="23">
        <f>VLOOKUP($A24,PERTANYAAN!$A$18:$E$71,5,0)</f>
        <v>0.01</v>
      </c>
      <c r="E24" s="25"/>
      <c r="F24" s="33" t="s">
        <v>37</v>
      </c>
      <c r="G24" s="33"/>
      <c r="H24" s="34"/>
      <c r="I24" s="34"/>
      <c r="J24" s="34"/>
      <c r="K24" s="34"/>
      <c r="L24" s="34"/>
      <c r="M24" s="33">
        <f>IF(F24="V",D24*100,0)</f>
        <v>1</v>
      </c>
      <c r="N24" s="24"/>
    </row>
    <row r="25" spans="1:14">
      <c r="A25" s="20" t="s">
        <v>51</v>
      </c>
      <c r="B25" s="21">
        <f t="shared" si="0"/>
        <v>4</v>
      </c>
      <c r="C25" s="22" t="str">
        <f>VLOOKUP($A25,PERTANYAAN!$A$18:$E$71,3,0)</f>
        <v>NPWP</v>
      </c>
      <c r="D25" s="23">
        <f>VLOOKUP($A25,PERTANYAAN!$A$18:$E$71,5,0)</f>
        <v>0.01</v>
      </c>
      <c r="E25" s="25"/>
      <c r="F25" s="33" t="s">
        <v>37</v>
      </c>
      <c r="G25" s="33"/>
      <c r="H25" s="34"/>
      <c r="I25" s="34"/>
      <c r="J25" s="34"/>
      <c r="K25" s="34"/>
      <c r="L25" s="34"/>
      <c r="M25" s="33">
        <f>IF(F25="V",D25*100,0)</f>
        <v>1</v>
      </c>
      <c r="N25" s="24"/>
    </row>
    <row r="26" spans="1:14">
      <c r="A26" s="2"/>
      <c r="B26" s="21"/>
      <c r="C26" s="24"/>
      <c r="D26" s="25"/>
      <c r="E26" s="25"/>
      <c r="F26" s="33"/>
      <c r="G26" s="33"/>
      <c r="H26" s="34"/>
      <c r="I26" s="34"/>
      <c r="J26" s="34"/>
      <c r="K26" s="34"/>
      <c r="L26" s="34"/>
      <c r="M26" s="33"/>
      <c r="N26" s="24"/>
    </row>
    <row r="27" spans="1:14">
      <c r="A27" s="2"/>
      <c r="B27" s="17" t="s">
        <v>54</v>
      </c>
      <c r="C27" s="18" t="s">
        <v>55</v>
      </c>
      <c r="D27" s="19">
        <f>D28</f>
        <v>0.35</v>
      </c>
      <c r="E27" s="35"/>
      <c r="F27" s="36"/>
      <c r="G27" s="36"/>
      <c r="H27" s="32"/>
      <c r="I27" s="32"/>
      <c r="J27" s="32"/>
      <c r="K27" s="32"/>
      <c r="L27" s="32"/>
      <c r="M27" s="31">
        <f>M28</f>
        <v>17</v>
      </c>
      <c r="N27" s="42"/>
    </row>
    <row r="28" spans="1:14">
      <c r="A28" s="20" t="s">
        <v>56</v>
      </c>
      <c r="B28" s="21">
        <v>1</v>
      </c>
      <c r="C28" s="22" t="str">
        <f>VLOOKUP($A28,PERTANYAAN!$A$18:$E$71,3,0)</f>
        <v>Operasi / Logistik</v>
      </c>
      <c r="D28" s="23">
        <f>VLOOKUP($A28,PERTANYAAN!$A$18:$E$71,5,0)</f>
        <v>0.35</v>
      </c>
      <c r="E28" s="25"/>
      <c r="F28" s="33"/>
      <c r="G28" s="33"/>
      <c r="H28" s="34"/>
      <c r="I28" s="34"/>
      <c r="J28" s="34"/>
      <c r="K28" s="34"/>
      <c r="L28" s="34"/>
      <c r="M28" s="33">
        <f>SUM(M29:M33)</f>
        <v>17</v>
      </c>
      <c r="N28" s="24"/>
    </row>
    <row r="29" spans="1:14">
      <c r="A29" s="20" t="s">
        <v>58</v>
      </c>
      <c r="B29" s="79" t="s">
        <v>59</v>
      </c>
      <c r="C29" s="22" t="str">
        <f>VLOOKUP($A29,PERTANYAAN!$A$18:$E$71,3,0)</f>
        <v>Skill Mengemudi</v>
      </c>
      <c r="D29" s="23">
        <f>VLOOKUP($A29,PERTANYAAN!$A$18:$E$71,5,0)</f>
        <v>0.15</v>
      </c>
      <c r="E29" s="25"/>
      <c r="F29" s="33"/>
      <c r="G29" s="33"/>
      <c r="H29" s="34" t="s">
        <v>37</v>
      </c>
      <c r="I29" s="34"/>
      <c r="J29" s="34"/>
      <c r="K29" s="34"/>
      <c r="L29" s="34"/>
      <c r="M29" s="33">
        <f>IF(H29="V",$D29*H$15,IF(I29="V",$D29*I$15,IF(J29="V",$D29*J$15,IF(K29="V",$D29*K$15,IF(L29="V",$D29*L$15,0)))))*100</f>
        <v>3</v>
      </c>
      <c r="N29" s="24"/>
    </row>
    <row r="30" spans="1:14">
      <c r="A30" s="20" t="s">
        <v>62</v>
      </c>
      <c r="B30" s="79" t="s">
        <v>59</v>
      </c>
      <c r="C30" s="22" t="str">
        <f>VLOOKUP($A30,PERTANYAAN!$A$18:$E$71,3,0)</f>
        <v>Flow Administrasi Logistik</v>
      </c>
      <c r="D30" s="23">
        <f>VLOOKUP($A30,PERTANYAAN!$A$18:$E$71,5,0)</f>
        <v>0.1</v>
      </c>
      <c r="E30" s="25"/>
      <c r="F30" s="33"/>
      <c r="G30" s="33"/>
      <c r="H30" s="34"/>
      <c r="I30" s="34"/>
      <c r="J30" s="34"/>
      <c r="K30" s="34" t="s">
        <v>37</v>
      </c>
      <c r="L30" s="34"/>
      <c r="M30" s="33">
        <f t="shared" ref="M30:M32" si="1">IF(H30="V",$D30*H$15,IF(I30="V",$D30*I$15,IF(J30="V",$D30*J$15,IF(K30="V",$D30*K$15,IF(L30="V",$D30*L$15,0)))))*100</f>
        <v>8</v>
      </c>
      <c r="N30" s="24"/>
    </row>
    <row r="31" spans="1:14">
      <c r="A31" s="20" t="s">
        <v>65</v>
      </c>
      <c r="B31" s="79" t="s">
        <v>59</v>
      </c>
      <c r="C31" s="22" t="str">
        <f>VLOOKUP($A31,PERTANYAAN!$A$18:$E$71,3,0)</f>
        <v>Pengetahuan terkait logistik</v>
      </c>
      <c r="D31" s="23">
        <f>VLOOKUP($A31,PERTANYAAN!$A$18:$E$71,5,0)</f>
        <v>0.025</v>
      </c>
      <c r="E31" s="25"/>
      <c r="F31" s="33"/>
      <c r="G31" s="33"/>
      <c r="H31" s="34"/>
      <c r="I31" s="34"/>
      <c r="J31" s="34" t="s">
        <v>37</v>
      </c>
      <c r="K31" s="34"/>
      <c r="L31" s="34"/>
      <c r="M31" s="33">
        <f t="shared" si="1"/>
        <v>1.5</v>
      </c>
      <c r="N31" s="24"/>
    </row>
    <row r="32" spans="1:14">
      <c r="A32" s="20" t="s">
        <v>68</v>
      </c>
      <c r="B32" s="79" t="s">
        <v>59</v>
      </c>
      <c r="C32" s="22" t="str">
        <f>VLOOKUP($A32,PERTANYAAN!$A$18:$E$71,3,0)</f>
        <v>Pengalaman di Bongkar Muat</v>
      </c>
      <c r="D32" s="23">
        <f>VLOOKUP($A32,PERTANYAAN!$A$18:$E$71,5,0)</f>
        <v>0.075</v>
      </c>
      <c r="E32" s="25"/>
      <c r="F32" s="33"/>
      <c r="G32" s="33"/>
      <c r="H32" s="34"/>
      <c r="I32" s="34"/>
      <c r="J32" s="34" t="s">
        <v>37</v>
      </c>
      <c r="K32" s="34"/>
      <c r="L32" s="34"/>
      <c r="M32" s="33">
        <f t="shared" si="1"/>
        <v>4.5</v>
      </c>
      <c r="N32" s="24"/>
    </row>
    <row r="33" spans="1:14">
      <c r="A33" s="2"/>
      <c r="B33" s="21"/>
      <c r="C33" s="24"/>
      <c r="D33" s="25"/>
      <c r="E33" s="25"/>
      <c r="F33" s="33"/>
      <c r="G33" s="33"/>
      <c r="H33" s="34"/>
      <c r="I33" s="34"/>
      <c r="J33" s="34"/>
      <c r="K33" s="34"/>
      <c r="L33" s="34"/>
      <c r="M33" s="33"/>
      <c r="N33" s="24"/>
    </row>
    <row r="34" hidden="1" outlineLevel="1" spans="1:14">
      <c r="A34" s="2"/>
      <c r="B34" s="21">
        <f>B28+1</f>
        <v>2</v>
      </c>
      <c r="C34" s="24" t="s">
        <v>71</v>
      </c>
      <c r="D34" s="25">
        <f>SUM(D35:D37)</f>
        <v>0.35</v>
      </c>
      <c r="E34" s="25"/>
      <c r="F34" s="33"/>
      <c r="G34" s="33"/>
      <c r="H34" s="34"/>
      <c r="I34" s="34"/>
      <c r="J34" s="34"/>
      <c r="K34" s="34"/>
      <c r="L34" s="34"/>
      <c r="M34" s="33"/>
      <c r="N34" s="24"/>
    </row>
    <row r="35" hidden="1" outlineLevel="1" spans="1:14">
      <c r="A35" s="2"/>
      <c r="B35" s="79" t="s">
        <v>59</v>
      </c>
      <c r="C35" s="24" t="s">
        <v>72</v>
      </c>
      <c r="D35" s="25">
        <v>0.15</v>
      </c>
      <c r="E35" s="25"/>
      <c r="F35" s="33"/>
      <c r="G35" s="33"/>
      <c r="H35" s="34"/>
      <c r="I35" s="34"/>
      <c r="J35" s="34"/>
      <c r="K35" s="34"/>
      <c r="L35" s="34"/>
      <c r="M35" s="33"/>
      <c r="N35" s="24"/>
    </row>
    <row r="36" hidden="1" outlineLevel="1" spans="1:14">
      <c r="A36" s="2"/>
      <c r="B36" s="79" t="s">
        <v>59</v>
      </c>
      <c r="C36" s="24" t="s">
        <v>73</v>
      </c>
      <c r="D36" s="25">
        <v>0.2</v>
      </c>
      <c r="E36" s="25"/>
      <c r="F36" s="33"/>
      <c r="G36" s="33"/>
      <c r="H36" s="34"/>
      <c r="I36" s="34"/>
      <c r="J36" s="34"/>
      <c r="K36" s="34"/>
      <c r="L36" s="34"/>
      <c r="M36" s="33"/>
      <c r="N36" s="24"/>
    </row>
    <row r="37" hidden="1" outlineLevel="1" spans="1:14">
      <c r="A37" s="2"/>
      <c r="B37" s="21"/>
      <c r="C37" s="24"/>
      <c r="D37" s="25"/>
      <c r="E37" s="25"/>
      <c r="F37" s="33"/>
      <c r="G37" s="33"/>
      <c r="H37" s="34"/>
      <c r="I37" s="34"/>
      <c r="J37" s="34"/>
      <c r="K37" s="34"/>
      <c r="L37" s="34"/>
      <c r="M37" s="33"/>
      <c r="N37" s="24"/>
    </row>
    <row r="38" hidden="1" outlineLevel="1" spans="1:14">
      <c r="A38" s="2"/>
      <c r="B38" s="21">
        <v>3</v>
      </c>
      <c r="C38" s="24" t="s">
        <v>74</v>
      </c>
      <c r="D38" s="25"/>
      <c r="E38" s="25"/>
      <c r="F38" s="33"/>
      <c r="G38" s="33"/>
      <c r="H38" s="34"/>
      <c r="I38" s="34"/>
      <c r="J38" s="34"/>
      <c r="K38" s="34"/>
      <c r="L38" s="34"/>
      <c r="M38" s="33"/>
      <c r="N38" s="24"/>
    </row>
    <row r="39" hidden="1" outlineLevel="1" spans="1:14">
      <c r="A39" s="2"/>
      <c r="B39" s="79" t="s">
        <v>59</v>
      </c>
      <c r="C39" s="24" t="s">
        <v>75</v>
      </c>
      <c r="D39" s="25"/>
      <c r="E39" s="25"/>
      <c r="F39" s="33"/>
      <c r="G39" s="33"/>
      <c r="H39" s="34"/>
      <c r="I39" s="34"/>
      <c r="J39" s="34"/>
      <c r="K39" s="34"/>
      <c r="L39" s="34"/>
      <c r="M39" s="33"/>
      <c r="N39" s="24"/>
    </row>
    <row r="40" hidden="1" outlineLevel="1" spans="1:14">
      <c r="A40" s="2"/>
      <c r="B40" s="79" t="s">
        <v>59</v>
      </c>
      <c r="C40" s="24" t="s">
        <v>76</v>
      </c>
      <c r="D40" s="25"/>
      <c r="E40" s="25"/>
      <c r="F40" s="33"/>
      <c r="G40" s="33"/>
      <c r="H40" s="34"/>
      <c r="I40" s="34"/>
      <c r="J40" s="34"/>
      <c r="K40" s="34"/>
      <c r="L40" s="34"/>
      <c r="M40" s="33"/>
      <c r="N40" s="24"/>
    </row>
    <row r="41" hidden="1" outlineLevel="1" spans="1:14">
      <c r="A41" s="2"/>
      <c r="B41" s="79" t="s">
        <v>59</v>
      </c>
      <c r="C41" s="24"/>
      <c r="D41" s="25"/>
      <c r="E41" s="25"/>
      <c r="F41" s="33"/>
      <c r="G41" s="33"/>
      <c r="H41" s="34"/>
      <c r="I41" s="34"/>
      <c r="J41" s="34"/>
      <c r="K41" s="34"/>
      <c r="L41" s="34"/>
      <c r="M41" s="33"/>
      <c r="N41" s="24"/>
    </row>
    <row r="42" hidden="1" outlineLevel="1" spans="1:14">
      <c r="A42" s="2"/>
      <c r="B42" s="21"/>
      <c r="C42" s="24"/>
      <c r="D42" s="25"/>
      <c r="E42" s="25"/>
      <c r="F42" s="33"/>
      <c r="G42" s="33"/>
      <c r="H42" s="34"/>
      <c r="I42" s="34"/>
      <c r="J42" s="34"/>
      <c r="K42" s="34"/>
      <c r="L42" s="34"/>
      <c r="M42" s="33"/>
      <c r="N42" s="24"/>
    </row>
    <row r="43" s="1" customFormat="1" collapsed="1" spans="1:14">
      <c r="A43" s="14"/>
      <c r="B43" s="17" t="s">
        <v>77</v>
      </c>
      <c r="C43" s="18" t="s">
        <v>78</v>
      </c>
      <c r="D43" s="19">
        <f>D44</f>
        <v>0.25</v>
      </c>
      <c r="E43" s="19"/>
      <c r="F43" s="31"/>
      <c r="G43" s="31"/>
      <c r="H43" s="37"/>
      <c r="I43" s="37"/>
      <c r="J43" s="37"/>
      <c r="K43" s="37"/>
      <c r="L43" s="37"/>
      <c r="M43" s="31">
        <f>M44</f>
        <v>22.5</v>
      </c>
      <c r="N43" s="18"/>
    </row>
    <row r="44" spans="1:14">
      <c r="A44" s="2" t="s">
        <v>79</v>
      </c>
      <c r="B44" s="21">
        <v>1</v>
      </c>
      <c r="C44" s="22" t="str">
        <f>VLOOKUP($A44,PERTANYAAN!$A$18:$E$71,3,0)</f>
        <v>Staff</v>
      </c>
      <c r="D44" s="23">
        <f>VLOOKUP($A44,PERTANYAAN!$A$18:$E$71,5,0)</f>
        <v>0.25</v>
      </c>
      <c r="E44" s="25"/>
      <c r="F44" s="33"/>
      <c r="G44" s="33"/>
      <c r="H44" s="34"/>
      <c r="I44" s="34"/>
      <c r="J44" s="34"/>
      <c r="K44" s="34"/>
      <c r="L44" s="34"/>
      <c r="M44" s="33">
        <f>SUM(M45:M48)</f>
        <v>22.5</v>
      </c>
      <c r="N44" s="24"/>
    </row>
    <row r="45" spans="1:14">
      <c r="A45" s="20" t="s">
        <v>81</v>
      </c>
      <c r="B45" s="79" t="s">
        <v>59</v>
      </c>
      <c r="C45" s="22" t="str">
        <f>VLOOKUP($A45,PERTANYAAN!$A$18:$E$71,3,0)</f>
        <v>Kepemimpinan</v>
      </c>
      <c r="D45" s="23">
        <f>VLOOKUP($A45,PERTANYAAN!$A$18:$E$71,5,0)</f>
        <v>0.025</v>
      </c>
      <c r="E45" s="25"/>
      <c r="F45" s="33"/>
      <c r="G45" s="33"/>
      <c r="H45" s="34"/>
      <c r="I45" s="34"/>
      <c r="J45" s="34"/>
      <c r="K45" s="34" t="s">
        <v>37</v>
      </c>
      <c r="L45" s="34"/>
      <c r="M45" s="33">
        <f>IF(H45="V",$D45*H$15,IF(I45="V",$D45*I$15,IF(J45="V",$D45*J$15,IF(K45="V",$D45*K$15,IF(L45="V",$D45*L$15,0)))))*100</f>
        <v>2</v>
      </c>
      <c r="N45" s="24"/>
    </row>
    <row r="46" spans="1:14">
      <c r="A46" s="20" t="s">
        <v>84</v>
      </c>
      <c r="B46" s="79" t="s">
        <v>59</v>
      </c>
      <c r="C46" s="22" t="str">
        <f>VLOOKUP($A46,PERTANYAAN!$A$18:$E$71,3,0)</f>
        <v>Komunikasi</v>
      </c>
      <c r="D46" s="23">
        <f>VLOOKUP($A46,PERTANYAAN!$A$18:$E$71,5,0)</f>
        <v>0.1</v>
      </c>
      <c r="E46" s="25"/>
      <c r="F46" s="33"/>
      <c r="G46" s="33"/>
      <c r="H46" s="34"/>
      <c r="I46" s="34"/>
      <c r="J46" s="34"/>
      <c r="K46" s="34"/>
      <c r="L46" s="34" t="s">
        <v>37</v>
      </c>
      <c r="M46" s="33">
        <f>IF(H46="V",$D46*H$15,IF(I46="V",$D46*I$15,IF(J46="V",$D46*J$15,IF(K46="V",$D46*K$15,IF(L46="V",$D46*L$15,0)))))*100</f>
        <v>10</v>
      </c>
      <c r="N46" s="24"/>
    </row>
    <row r="47" spans="1:14">
      <c r="A47" s="20" t="s">
        <v>87</v>
      </c>
      <c r="B47" s="79" t="s">
        <v>59</v>
      </c>
      <c r="C47" s="22" t="str">
        <f>VLOOKUP($A47,PERTANYAAN!$A$18:$E$71,3,0)</f>
        <v>Patuh pada Peraturan / Commitment</v>
      </c>
      <c r="D47" s="23">
        <f>VLOOKUP($A47,PERTANYAAN!$A$18:$E$71,5,0)</f>
        <v>0.05</v>
      </c>
      <c r="E47" s="25"/>
      <c r="F47" s="33"/>
      <c r="G47" s="33"/>
      <c r="H47" s="34"/>
      <c r="I47" s="34"/>
      <c r="J47" s="34" t="s">
        <v>37</v>
      </c>
      <c r="K47" s="34"/>
      <c r="L47" s="34"/>
      <c r="M47" s="33">
        <f>IF(H47="V",$D47*H$15,IF(I47="V",$D47*I$15,IF(J47="V",$D47*J$15,IF(K47="V",$D47*K$15,IF(L47="V",$D47*L$15,0)))))*100</f>
        <v>3</v>
      </c>
      <c r="N47" s="24"/>
    </row>
    <row r="48" spans="1:14">
      <c r="A48" s="20" t="s">
        <v>90</v>
      </c>
      <c r="B48" s="79" t="s">
        <v>59</v>
      </c>
      <c r="C48" s="22" t="str">
        <f>VLOOKUP($A48,PERTANYAAN!$A$18:$E$71,3,0)</f>
        <v>Determinasi thd tekanan</v>
      </c>
      <c r="D48" s="23">
        <f>VLOOKUP($A48,PERTANYAAN!$A$18:$E$71,5,0)</f>
        <v>0.075</v>
      </c>
      <c r="E48" s="25"/>
      <c r="F48" s="33"/>
      <c r="G48" s="33"/>
      <c r="H48" s="34"/>
      <c r="I48" s="34"/>
      <c r="J48" s="34"/>
      <c r="K48" s="34"/>
      <c r="L48" s="34" t="s">
        <v>37</v>
      </c>
      <c r="M48" s="33">
        <f>IF(H48="V",$D48*H$15,IF(I48="V",$D48*I$15,IF(J48="V",$D48*J$15,IF(K48="V",$D48*K$15,IF(L48="V",$D48*L$15,0)))))*100</f>
        <v>7.5</v>
      </c>
      <c r="N48" s="24"/>
    </row>
    <row r="49" spans="1:14">
      <c r="A49" s="2"/>
      <c r="B49" s="21"/>
      <c r="C49" s="24"/>
      <c r="D49" s="25"/>
      <c r="E49" s="25"/>
      <c r="F49" s="33"/>
      <c r="G49" s="33"/>
      <c r="H49" s="34"/>
      <c r="I49" s="34"/>
      <c r="J49" s="34"/>
      <c r="K49" s="34"/>
      <c r="L49" s="34"/>
      <c r="M49" s="33"/>
      <c r="N49" s="24"/>
    </row>
    <row r="50" hidden="1" outlineLevel="1" spans="1:14">
      <c r="A50" s="2"/>
      <c r="B50" s="21">
        <v>2</v>
      </c>
      <c r="C50" s="24" t="s">
        <v>93</v>
      </c>
      <c r="D50" s="25"/>
      <c r="E50" s="25"/>
      <c r="F50" s="33"/>
      <c r="G50" s="33"/>
      <c r="H50" s="34"/>
      <c r="I50" s="34"/>
      <c r="J50" s="34"/>
      <c r="K50" s="34"/>
      <c r="L50" s="34"/>
      <c r="M50" s="33"/>
      <c r="N50" s="24"/>
    </row>
    <row r="51" hidden="1" outlineLevel="1" spans="1:14">
      <c r="A51" s="2"/>
      <c r="B51" s="79" t="s">
        <v>59</v>
      </c>
      <c r="C51" s="24" t="s">
        <v>82</v>
      </c>
      <c r="D51" s="25"/>
      <c r="E51" s="25"/>
      <c r="F51" s="33"/>
      <c r="G51" s="33"/>
      <c r="H51" s="34"/>
      <c r="I51" s="34"/>
      <c r="J51" s="34"/>
      <c r="K51" s="34"/>
      <c r="L51" s="34"/>
      <c r="M51" s="33"/>
      <c r="N51" s="24"/>
    </row>
    <row r="52" hidden="1" outlineLevel="1" spans="1:14">
      <c r="A52" s="2"/>
      <c r="B52" s="79" t="s">
        <v>59</v>
      </c>
      <c r="C52" s="24" t="s">
        <v>94</v>
      </c>
      <c r="D52" s="25"/>
      <c r="E52" s="25"/>
      <c r="F52" s="33"/>
      <c r="G52" s="33"/>
      <c r="H52" s="34"/>
      <c r="I52" s="34"/>
      <c r="J52" s="34"/>
      <c r="K52" s="34"/>
      <c r="L52" s="34"/>
      <c r="M52" s="33"/>
      <c r="N52" s="24"/>
    </row>
    <row r="53" hidden="1" outlineLevel="1" spans="1:14">
      <c r="A53" s="2"/>
      <c r="B53" s="79" t="s">
        <v>59</v>
      </c>
      <c r="C53" s="24" t="s">
        <v>95</v>
      </c>
      <c r="D53" s="25"/>
      <c r="E53" s="25"/>
      <c r="F53" s="33"/>
      <c r="G53" s="33"/>
      <c r="H53" s="34"/>
      <c r="I53" s="34"/>
      <c r="J53" s="34"/>
      <c r="K53" s="34"/>
      <c r="L53" s="34"/>
      <c r="M53" s="33"/>
      <c r="N53" s="24"/>
    </row>
    <row r="54" hidden="1" outlineLevel="1" spans="1:14">
      <c r="A54" s="2"/>
      <c r="B54" s="21"/>
      <c r="C54" s="24"/>
      <c r="D54" s="25"/>
      <c r="E54" s="25"/>
      <c r="F54" s="33"/>
      <c r="G54" s="33"/>
      <c r="H54" s="34"/>
      <c r="I54" s="34"/>
      <c r="J54" s="34"/>
      <c r="K54" s="34"/>
      <c r="L54" s="34"/>
      <c r="M54" s="33"/>
      <c r="N54" s="24"/>
    </row>
    <row r="55" hidden="1" outlineLevel="1" spans="1:14">
      <c r="A55" s="2"/>
      <c r="B55" s="21">
        <v>3</v>
      </c>
      <c r="C55" s="24" t="s">
        <v>96</v>
      </c>
      <c r="D55" s="25"/>
      <c r="E55" s="25"/>
      <c r="F55" s="33"/>
      <c r="G55" s="33"/>
      <c r="H55" s="34"/>
      <c r="I55" s="34"/>
      <c r="J55" s="34"/>
      <c r="K55" s="34"/>
      <c r="L55" s="34"/>
      <c r="M55" s="33"/>
      <c r="N55" s="24"/>
    </row>
    <row r="56" hidden="1" outlineLevel="1" spans="1:14">
      <c r="A56" s="2"/>
      <c r="B56" s="79" t="s">
        <v>59</v>
      </c>
      <c r="C56" s="24" t="s">
        <v>82</v>
      </c>
      <c r="D56" s="25"/>
      <c r="E56" s="25"/>
      <c r="F56" s="33"/>
      <c r="G56" s="33"/>
      <c r="H56" s="34"/>
      <c r="I56" s="34"/>
      <c r="J56" s="34"/>
      <c r="K56" s="34"/>
      <c r="L56" s="34"/>
      <c r="M56" s="33"/>
      <c r="N56" s="24"/>
    </row>
    <row r="57" hidden="1" outlineLevel="1" spans="1:14">
      <c r="A57" s="2"/>
      <c r="B57" s="79" t="s">
        <v>59</v>
      </c>
      <c r="C57" s="24" t="s">
        <v>95</v>
      </c>
      <c r="D57" s="25"/>
      <c r="E57" s="25"/>
      <c r="F57" s="33"/>
      <c r="G57" s="33"/>
      <c r="H57" s="34"/>
      <c r="I57" s="34"/>
      <c r="J57" s="34"/>
      <c r="K57" s="34"/>
      <c r="L57" s="34"/>
      <c r="M57" s="33"/>
      <c r="N57" s="24"/>
    </row>
    <row r="58" hidden="1" outlineLevel="1" spans="1:14">
      <c r="A58" s="2"/>
      <c r="B58" s="79" t="s">
        <v>59</v>
      </c>
      <c r="C58" s="24" t="s">
        <v>97</v>
      </c>
      <c r="D58" s="25"/>
      <c r="E58" s="25"/>
      <c r="F58" s="33"/>
      <c r="G58" s="33"/>
      <c r="H58" s="34"/>
      <c r="I58" s="34"/>
      <c r="J58" s="34"/>
      <c r="K58" s="34"/>
      <c r="L58" s="34"/>
      <c r="M58" s="33"/>
      <c r="N58" s="24"/>
    </row>
    <row r="59" hidden="1" outlineLevel="1" spans="1:14">
      <c r="A59" s="2"/>
      <c r="B59" s="21"/>
      <c r="C59" s="24"/>
      <c r="D59" s="25"/>
      <c r="E59" s="25"/>
      <c r="F59" s="33"/>
      <c r="G59" s="33"/>
      <c r="H59" s="34"/>
      <c r="I59" s="34"/>
      <c r="J59" s="34"/>
      <c r="K59" s="34"/>
      <c r="L59" s="34"/>
      <c r="M59" s="33"/>
      <c r="N59" s="24"/>
    </row>
    <row r="60" s="1" customFormat="1" collapsed="1" spans="1:14">
      <c r="A60" s="14"/>
      <c r="B60" s="17" t="s">
        <v>98</v>
      </c>
      <c r="C60" s="18" t="s">
        <v>99</v>
      </c>
      <c r="D60" s="19">
        <f>SUM(D61:D64)</f>
        <v>0.15</v>
      </c>
      <c r="E60" s="19"/>
      <c r="F60" s="31"/>
      <c r="G60" s="31"/>
      <c r="H60" s="37"/>
      <c r="I60" s="37"/>
      <c r="J60" s="37"/>
      <c r="K60" s="37"/>
      <c r="L60" s="37"/>
      <c r="M60" s="31">
        <f>SUM(M61:M64)</f>
        <v>12.5</v>
      </c>
      <c r="N60" s="18"/>
    </row>
    <row r="61" spans="1:14">
      <c r="A61" s="20" t="s">
        <v>100</v>
      </c>
      <c r="B61" s="79" t="s">
        <v>59</v>
      </c>
      <c r="C61" s="22" t="str">
        <f>VLOOKUP($A61,PERTANYAAN!$A$18:$E$71,3,0)</f>
        <v>Antusiasme / Keinginan bergabung</v>
      </c>
      <c r="D61" s="23">
        <f>VLOOKUP($A61,PERTANYAAN!$A$18:$E$71,5,0)</f>
        <v>0.075</v>
      </c>
      <c r="E61" s="25"/>
      <c r="F61" s="33"/>
      <c r="G61" s="33"/>
      <c r="H61" s="34"/>
      <c r="I61" s="34"/>
      <c r="J61" s="34"/>
      <c r="K61" s="34" t="s">
        <v>37</v>
      </c>
      <c r="L61" s="34"/>
      <c r="M61" s="33">
        <f t="shared" ref="M61:M63" si="2">IF(H61="V",$D61*H$15,IF(I61="V",$D61*I$15,IF(J61="V",$D61*J$15,IF(K61="V",$D61*K$15,IF(L61="V",$D61*L$15,0)))))*100</f>
        <v>6</v>
      </c>
      <c r="N61" s="24"/>
    </row>
    <row r="62" spans="1:14">
      <c r="A62" s="20" t="s">
        <v>103</v>
      </c>
      <c r="B62" s="79" t="s">
        <v>59</v>
      </c>
      <c r="C62" s="22" t="str">
        <f>VLOOKUP($A62,PERTANYAAN!$A$18:$E$71,3,0)</f>
        <v>Inisiatif</v>
      </c>
      <c r="D62" s="23">
        <f>VLOOKUP($A62,PERTANYAAN!$A$18:$E$71,5,0)</f>
        <v>0.05</v>
      </c>
      <c r="E62" s="25"/>
      <c r="F62" s="33"/>
      <c r="G62" s="33"/>
      <c r="H62" s="34"/>
      <c r="I62" s="34"/>
      <c r="J62" s="34"/>
      <c r="K62" s="34" t="s">
        <v>37</v>
      </c>
      <c r="L62" s="34"/>
      <c r="M62" s="33">
        <f t="shared" si="2"/>
        <v>4</v>
      </c>
      <c r="N62" s="24"/>
    </row>
    <row r="63" spans="1:14">
      <c r="A63" s="20" t="s">
        <v>106</v>
      </c>
      <c r="B63" s="79" t="s">
        <v>59</v>
      </c>
      <c r="C63" s="22" t="str">
        <f>VLOOKUP($A63,PERTANYAAN!$A$18:$E$71,3,0)</f>
        <v>Adaptif</v>
      </c>
      <c r="D63" s="23">
        <f>VLOOKUP($A63,PERTANYAAN!$A$18:$E$71,5,0)</f>
        <v>0.025</v>
      </c>
      <c r="E63" s="25"/>
      <c r="F63" s="33"/>
      <c r="G63" s="33"/>
      <c r="H63" s="34"/>
      <c r="I63" s="34"/>
      <c r="J63" s="34"/>
      <c r="K63" s="34"/>
      <c r="L63" s="34" t="s">
        <v>37</v>
      </c>
      <c r="M63" s="33">
        <f t="shared" si="2"/>
        <v>2.5</v>
      </c>
      <c r="N63" s="24"/>
    </row>
    <row r="64" spans="1:14">
      <c r="A64" s="2"/>
      <c r="B64" s="21"/>
      <c r="C64" s="24"/>
      <c r="D64" s="25"/>
      <c r="E64" s="25"/>
      <c r="F64" s="33"/>
      <c r="G64" s="33"/>
      <c r="H64" s="34"/>
      <c r="I64" s="34"/>
      <c r="J64" s="34"/>
      <c r="K64" s="34"/>
      <c r="L64" s="34"/>
      <c r="M64" s="33"/>
      <c r="N64" s="24"/>
    </row>
    <row r="65" s="1" customFormat="1" spans="1:14">
      <c r="A65" s="14"/>
      <c r="B65" s="17" t="s">
        <v>109</v>
      </c>
      <c r="C65" s="18" t="s">
        <v>110</v>
      </c>
      <c r="D65" s="19">
        <f>SUM(D66:D68)</f>
        <v>0.05</v>
      </c>
      <c r="E65" s="19"/>
      <c r="F65" s="31"/>
      <c r="G65" s="31"/>
      <c r="H65" s="37"/>
      <c r="I65" s="37"/>
      <c r="J65" s="37"/>
      <c r="K65" s="37"/>
      <c r="L65" s="37"/>
      <c r="M65" s="31">
        <f>SUM(M66:M68)</f>
        <v>3.2</v>
      </c>
      <c r="N65" s="18"/>
    </row>
    <row r="66" spans="1:14">
      <c r="A66" s="20" t="s">
        <v>111</v>
      </c>
      <c r="B66" s="79" t="s">
        <v>59</v>
      </c>
      <c r="C66" s="22" t="str">
        <f>VLOOKUP($A66,PERTANYAAN!$A$18:$E$71,3,0)</f>
        <v>Ekspektasi Salary (Mengukur Budget &amp; Skill)</v>
      </c>
      <c r="D66" s="23">
        <f>VLOOKUP($A66,PERTANYAAN!$A$18:$E$71,5,0)</f>
        <v>0.04</v>
      </c>
      <c r="E66" s="25"/>
      <c r="F66" s="33"/>
      <c r="G66" s="33"/>
      <c r="H66" s="34"/>
      <c r="I66" s="34"/>
      <c r="J66" s="34" t="s">
        <v>37</v>
      </c>
      <c r="K66" s="34"/>
      <c r="L66" s="34"/>
      <c r="M66" s="33">
        <f t="shared" ref="M66:M67" si="3">IF(H66="V",$D66*H$15,IF(I66="V",$D66*I$15,IF(J66="V",$D66*J$15,IF(K66="V",$D66*K$15,IF(L66="V",$D66*L$15,0)))))*100</f>
        <v>2.4</v>
      </c>
      <c r="N66" s="24" t="s">
        <v>156</v>
      </c>
    </row>
    <row r="67" spans="1:14">
      <c r="A67" s="20" t="s">
        <v>114</v>
      </c>
      <c r="B67" s="79" t="s">
        <v>59</v>
      </c>
      <c r="C67" s="22" t="str">
        <f>VLOOKUP($A67,PERTANYAAN!$A$18:$E$71,3,0)</f>
        <v>Tujuan Karir</v>
      </c>
      <c r="D67" s="23">
        <f>VLOOKUP($A67,PERTANYAAN!$A$18:$E$71,5,0)</f>
        <v>0.01</v>
      </c>
      <c r="E67" s="25"/>
      <c r="F67" s="33"/>
      <c r="G67" s="33"/>
      <c r="H67" s="34"/>
      <c r="I67" s="34"/>
      <c r="J67" s="34"/>
      <c r="K67" s="34" t="s">
        <v>37</v>
      </c>
      <c r="L67" s="34"/>
      <c r="M67" s="33">
        <f t="shared" si="3"/>
        <v>0.8</v>
      </c>
      <c r="N67" s="24"/>
    </row>
    <row r="68" spans="1:14">
      <c r="A68" s="20"/>
      <c r="B68" s="21"/>
      <c r="C68" s="24"/>
      <c r="D68" s="25"/>
      <c r="E68" s="25"/>
      <c r="F68" s="33"/>
      <c r="G68" s="33"/>
      <c r="H68" s="34"/>
      <c r="I68" s="34"/>
      <c r="J68" s="34"/>
      <c r="K68" s="34"/>
      <c r="L68" s="34"/>
      <c r="M68" s="33"/>
      <c r="N68" s="24"/>
    </row>
    <row r="69" s="1" customFormat="1" spans="1:14">
      <c r="A69" s="14"/>
      <c r="B69" s="17" t="s">
        <v>117</v>
      </c>
      <c r="C69" s="18" t="s">
        <v>118</v>
      </c>
      <c r="D69" s="19">
        <f>SUM(D70:D70)</f>
        <v>0.05</v>
      </c>
      <c r="E69" s="19"/>
      <c r="F69" s="31"/>
      <c r="G69" s="31"/>
      <c r="H69" s="37"/>
      <c r="I69" s="37"/>
      <c r="J69" s="37"/>
      <c r="K69" s="37"/>
      <c r="L69" s="37"/>
      <c r="M69" s="31">
        <f>SUM(M70)</f>
        <v>4</v>
      </c>
      <c r="N69" s="18"/>
    </row>
    <row r="70" spans="1:17">
      <c r="A70" s="20" t="s">
        <v>119</v>
      </c>
      <c r="B70" s="79" t="s">
        <v>59</v>
      </c>
      <c r="C70" s="22" t="str">
        <f>VLOOKUP($A70,PERTANYAAN!$A$18:$E$71,3,0)</f>
        <v>Pertanyaan Spesifik User</v>
      </c>
      <c r="D70" s="23">
        <f>VLOOKUP($A70,PERTANYAAN!$A$18:$E$71,5,0)</f>
        <v>0.05</v>
      </c>
      <c r="E70" s="25"/>
      <c r="F70" s="33"/>
      <c r="G70" s="33"/>
      <c r="H70" s="34"/>
      <c r="I70" s="34"/>
      <c r="J70" s="34"/>
      <c r="K70" s="34" t="s">
        <v>37</v>
      </c>
      <c r="L70" s="34"/>
      <c r="M70" s="33">
        <f t="shared" ref="M70" si="4">IF(H70="V",$D70*H$15,IF(I70="V",$D70*I$15,IF(J70="V",$D70*J$15,IF(K70="V",$D70*K$15,IF(L70="V",$D70*L$15,0)))))*100</f>
        <v>4</v>
      </c>
      <c r="N70" s="24"/>
      <c r="P70" t="s">
        <v>150</v>
      </c>
      <c r="Q70" t="s">
        <v>157</v>
      </c>
    </row>
    <row r="71" spans="2:17">
      <c r="B71" s="43"/>
      <c r="C71" s="44"/>
      <c r="D71" s="45"/>
      <c r="E71" s="45"/>
      <c r="F71" s="46"/>
      <c r="G71" s="46"/>
      <c r="H71" s="47"/>
      <c r="I71" s="47"/>
      <c r="J71" s="47"/>
      <c r="K71" s="47"/>
      <c r="L71" s="47"/>
      <c r="M71" s="46"/>
      <c r="N71" s="44"/>
      <c r="P71" t="s">
        <v>152</v>
      </c>
      <c r="Q71" s="50" t="s">
        <v>158</v>
      </c>
    </row>
    <row r="72" spans="17:17">
      <c r="Q72" s="50" t="s">
        <v>159</v>
      </c>
    </row>
    <row r="73" spans="8:8">
      <c r="H73" s="48" t="s">
        <v>23</v>
      </c>
    </row>
    <row r="74" spans="8:10">
      <c r="H74" s="5" t="s">
        <v>26</v>
      </c>
      <c r="I74" s="5" t="s">
        <v>3</v>
      </c>
      <c r="J74" s="49" t="s">
        <v>122</v>
      </c>
    </row>
    <row r="75" spans="8:10">
      <c r="H75" s="5" t="s">
        <v>27</v>
      </c>
      <c r="I75" s="5" t="s">
        <v>3</v>
      </c>
      <c r="J75" s="49" t="s">
        <v>123</v>
      </c>
    </row>
    <row r="76" spans="8:10">
      <c r="H76" s="5" t="s">
        <v>28</v>
      </c>
      <c r="I76" s="5" t="s">
        <v>3</v>
      </c>
      <c r="J76" s="49" t="s">
        <v>124</v>
      </c>
    </row>
    <row r="77" spans="8:10">
      <c r="H77" s="5" t="s">
        <v>29</v>
      </c>
      <c r="I77" s="5" t="s">
        <v>3</v>
      </c>
      <c r="J77" s="49" t="s">
        <v>125</v>
      </c>
    </row>
    <row r="78" spans="8:10">
      <c r="H78" s="5" t="s">
        <v>30</v>
      </c>
      <c r="I78" s="5" t="s">
        <v>3</v>
      </c>
      <c r="J78" s="49" t="s">
        <v>126</v>
      </c>
    </row>
  </sheetData>
  <mergeCells count="8">
    <mergeCell ref="F13:G13"/>
    <mergeCell ref="H13:L13"/>
    <mergeCell ref="A13:A14"/>
    <mergeCell ref="B13:B14"/>
    <mergeCell ref="C13:C14"/>
    <mergeCell ref="D13:D14"/>
    <mergeCell ref="M13:M14"/>
    <mergeCell ref="N13:N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Q78"/>
  <sheetViews>
    <sheetView zoomScale="55" zoomScaleNormal="55" workbookViewId="0">
      <pane xSplit="1" ySplit="14" topLeftCell="B15" activePane="bottomRight" state="frozen"/>
      <selection/>
      <selection pane="topRight"/>
      <selection pane="bottomLeft"/>
      <selection pane="bottomRight" activeCell="J67" sqref="J67"/>
    </sheetView>
  </sheetViews>
  <sheetFormatPr defaultColWidth="8.85840707964602" defaultRowHeight="14.25"/>
  <cols>
    <col min="1" max="1" width="17.7079646017699" customWidth="1"/>
    <col min="2" max="2" width="4.28318584070797" style="2" customWidth="1"/>
    <col min="3" max="3" width="40.141592920354" customWidth="1"/>
    <col min="4" max="4" width="8.85840707964602" style="3"/>
    <col min="5" max="5" width="1.70796460176991" style="3" customWidth="1"/>
    <col min="6" max="7" width="8.85840707964602" style="4"/>
    <col min="8" max="12" width="8.85840707964602" style="5"/>
    <col min="13" max="13" width="8.85840707964602" style="4"/>
    <col min="14" max="14" width="22.2035398230088" customWidth="1"/>
    <col min="16" max="16" width="10.3805309734513" customWidth="1"/>
  </cols>
  <sheetData>
    <row r="1" spans="1:1">
      <c r="A1" s="1" t="s">
        <v>0</v>
      </c>
    </row>
    <row r="2" spans="1:1">
      <c r="A2" s="1" t="s">
        <v>1</v>
      </c>
    </row>
    <row r="5" spans="1:3">
      <c r="A5" s="1" t="s">
        <v>2</v>
      </c>
      <c r="B5" s="2" t="s">
        <v>3</v>
      </c>
      <c r="C5" s="1" t="s">
        <v>160</v>
      </c>
    </row>
    <row r="6" spans="1:3">
      <c r="A6" s="1" t="s">
        <v>4</v>
      </c>
      <c r="B6" s="2" t="s">
        <v>3</v>
      </c>
      <c r="C6" t="s">
        <v>5</v>
      </c>
    </row>
    <row r="7" spans="1:3">
      <c r="A7" s="1" t="s">
        <v>6</v>
      </c>
      <c r="B7" s="2" t="s">
        <v>3</v>
      </c>
      <c r="C7" t="s">
        <v>146</v>
      </c>
    </row>
    <row r="8" spans="1:3">
      <c r="A8" s="1" t="s">
        <v>8</v>
      </c>
      <c r="B8" s="2" t="s">
        <v>3</v>
      </c>
      <c r="C8" t="s">
        <v>9</v>
      </c>
    </row>
    <row r="9" spans="1:2">
      <c r="A9" s="1" t="s">
        <v>10</v>
      </c>
      <c r="B9" s="2" t="s">
        <v>3</v>
      </c>
    </row>
    <row r="10" spans="1:4">
      <c r="A10" s="1" t="s">
        <v>142</v>
      </c>
      <c r="B10" s="2" t="s">
        <v>3</v>
      </c>
      <c r="C10" s="1" t="s">
        <v>147</v>
      </c>
      <c r="D10" s="6" t="s">
        <v>148</v>
      </c>
    </row>
    <row r="11" spans="1:3">
      <c r="A11" s="1" t="s">
        <v>14</v>
      </c>
      <c r="B11" s="2" t="s">
        <v>3</v>
      </c>
      <c r="C11" s="7">
        <f>M16</f>
        <v>58</v>
      </c>
    </row>
    <row r="13" s="1" customFormat="1" spans="1:14">
      <c r="A13" s="8" t="s">
        <v>15</v>
      </c>
      <c r="B13" s="9" t="s">
        <v>16</v>
      </c>
      <c r="C13" s="9" t="s">
        <v>17</v>
      </c>
      <c r="D13" s="10" t="s">
        <v>19</v>
      </c>
      <c r="E13" s="10"/>
      <c r="F13" s="26" t="s">
        <v>20</v>
      </c>
      <c r="G13" s="26"/>
      <c r="H13" s="9" t="s">
        <v>21</v>
      </c>
      <c r="I13" s="9"/>
      <c r="J13" s="9"/>
      <c r="K13" s="9"/>
      <c r="L13" s="9"/>
      <c r="M13" s="26" t="s">
        <v>22</v>
      </c>
      <c r="N13" s="38" t="s">
        <v>23</v>
      </c>
    </row>
    <row r="14" s="1" customFormat="1" spans="1:14">
      <c r="A14" s="8"/>
      <c r="B14" s="9"/>
      <c r="C14" s="11"/>
      <c r="D14" s="12"/>
      <c r="E14" s="12"/>
      <c r="F14" s="26" t="s">
        <v>24</v>
      </c>
      <c r="G14" s="26" t="s">
        <v>25</v>
      </c>
      <c r="H14" s="9" t="s">
        <v>26</v>
      </c>
      <c r="I14" s="9" t="s">
        <v>27</v>
      </c>
      <c r="J14" s="9" t="s">
        <v>28</v>
      </c>
      <c r="K14" s="9" t="s">
        <v>29</v>
      </c>
      <c r="L14" s="9" t="s">
        <v>30</v>
      </c>
      <c r="M14" s="26"/>
      <c r="N14" s="38"/>
    </row>
    <row r="15" s="1" customFormat="1" spans="2:14">
      <c r="B15" s="13"/>
      <c r="C15" s="13"/>
      <c r="D15" s="13"/>
      <c r="E15" s="27"/>
      <c r="F15" s="28"/>
      <c r="G15" s="28"/>
      <c r="H15" s="29">
        <v>0.2</v>
      </c>
      <c r="I15" s="29">
        <v>0.4</v>
      </c>
      <c r="J15" s="29">
        <v>0.6</v>
      </c>
      <c r="K15" s="29">
        <v>0.8</v>
      </c>
      <c r="L15" s="29">
        <v>1</v>
      </c>
      <c r="M15" s="28"/>
      <c r="N15" s="39"/>
    </row>
    <row r="16" s="1" customFormat="1" spans="1:14">
      <c r="A16" s="14"/>
      <c r="B16" s="15"/>
      <c r="C16" s="16" t="s">
        <v>31</v>
      </c>
      <c r="D16" s="15"/>
      <c r="E16" s="15"/>
      <c r="F16" s="30"/>
      <c r="G16" s="30"/>
      <c r="H16" s="15"/>
      <c r="I16" s="15"/>
      <c r="J16" s="15"/>
      <c r="K16" s="15"/>
      <c r="L16" s="15"/>
      <c r="M16" s="40">
        <f>M17+M21+M27+M43+M60+M65+M69</f>
        <v>58</v>
      </c>
      <c r="N16" s="41"/>
    </row>
    <row r="17" spans="2:14">
      <c r="B17" s="17" t="s">
        <v>32</v>
      </c>
      <c r="C17" s="18" t="s">
        <v>144</v>
      </c>
      <c r="D17" s="19">
        <f>SUM(D18:D19)</f>
        <v>0.1</v>
      </c>
      <c r="E17" s="19"/>
      <c r="F17" s="31"/>
      <c r="G17" s="31"/>
      <c r="H17" s="32"/>
      <c r="I17" s="32"/>
      <c r="J17" s="32"/>
      <c r="K17" s="32"/>
      <c r="L17" s="32"/>
      <c r="M17" s="31">
        <f>SUM(M18:M20)</f>
        <v>6</v>
      </c>
      <c r="N17" s="42"/>
    </row>
    <row r="18" spans="1:14">
      <c r="A18" s="20" t="s">
        <v>34</v>
      </c>
      <c r="B18" s="21">
        <v>1</v>
      </c>
      <c r="C18" s="22" t="str">
        <f>VLOOKUP($A18,PERTANYAAN!$A$18:$E$71,3,0)</f>
        <v>Pengalaman di dalam Daniswara Group</v>
      </c>
      <c r="D18" s="23">
        <f>VLOOKUP($A18,PERTANYAAN!$A$18:$E$71,5,0)</f>
        <v>0.06</v>
      </c>
      <c r="E18" s="25"/>
      <c r="F18" s="33" t="s">
        <v>37</v>
      </c>
      <c r="G18" s="33"/>
      <c r="H18" s="34"/>
      <c r="I18" s="34"/>
      <c r="J18" s="34"/>
      <c r="K18" s="34"/>
      <c r="L18" s="34"/>
      <c r="M18" s="33">
        <f t="shared" ref="M18:M25" si="0">IF(F18="V",D18*100,0)</f>
        <v>6</v>
      </c>
      <c r="N18" s="24"/>
    </row>
    <row r="19" spans="1:14">
      <c r="A19" s="20" t="s">
        <v>38</v>
      </c>
      <c r="B19" s="21">
        <f t="shared" ref="B19:B25" si="1">B18+1</f>
        <v>2</v>
      </c>
      <c r="C19" s="22" t="str">
        <f>VLOOKUP($A19,PERTANYAAN!$A$18:$E$71,3,0)</f>
        <v>Pengalaman di luar Daniswara Group</v>
      </c>
      <c r="D19" s="23">
        <f>VLOOKUP($A19,PERTANYAAN!$A$18:$E$71,5,0)</f>
        <v>0.04</v>
      </c>
      <c r="E19" s="25"/>
      <c r="F19" s="33"/>
      <c r="G19" s="33" t="s">
        <v>37</v>
      </c>
      <c r="H19" s="34"/>
      <c r="I19" s="34"/>
      <c r="J19" s="34"/>
      <c r="K19" s="34"/>
      <c r="L19" s="34"/>
      <c r="M19" s="33">
        <f t="shared" si="0"/>
        <v>0</v>
      </c>
      <c r="N19" s="24"/>
    </row>
    <row r="20" spans="1:14">
      <c r="A20" s="2"/>
      <c r="B20" s="21"/>
      <c r="C20" s="24"/>
      <c r="D20" s="25"/>
      <c r="E20" s="25"/>
      <c r="F20" s="33"/>
      <c r="G20" s="33"/>
      <c r="H20" s="34"/>
      <c r="I20" s="34"/>
      <c r="J20" s="34"/>
      <c r="K20" s="34"/>
      <c r="L20" s="34"/>
      <c r="M20" s="33"/>
      <c r="N20" s="24"/>
    </row>
    <row r="21" spans="1:14">
      <c r="A21" s="2"/>
      <c r="B21" s="17" t="s">
        <v>29</v>
      </c>
      <c r="C21" s="18" t="s">
        <v>41</v>
      </c>
      <c r="D21" s="19">
        <f>SUM(D22:D25)</f>
        <v>0.05</v>
      </c>
      <c r="E21" s="19"/>
      <c r="F21" s="31"/>
      <c r="G21" s="31"/>
      <c r="H21" s="32"/>
      <c r="I21" s="32"/>
      <c r="J21" s="32"/>
      <c r="K21" s="32"/>
      <c r="L21" s="32"/>
      <c r="M21" s="31">
        <f>SUM(M22:M25)</f>
        <v>2</v>
      </c>
      <c r="N21" s="42"/>
    </row>
    <row r="22" spans="1:14">
      <c r="A22" s="20" t="s">
        <v>42</v>
      </c>
      <c r="B22" s="21">
        <v>1</v>
      </c>
      <c r="C22" s="22" t="str">
        <f>VLOOKUP($A22,PERTANYAAN!$A$18:$E$71,3,0)</f>
        <v>Identitas (KTP &amp; KK)</v>
      </c>
      <c r="D22" s="23">
        <f>VLOOKUP($A22,PERTANYAAN!$A$18:$E$71,5,0)</f>
        <v>0.01</v>
      </c>
      <c r="E22" s="25"/>
      <c r="F22" s="33" t="s">
        <v>37</v>
      </c>
      <c r="G22" s="33"/>
      <c r="H22" s="34"/>
      <c r="I22" s="34"/>
      <c r="J22" s="34"/>
      <c r="K22" s="34"/>
      <c r="L22" s="34"/>
      <c r="M22" s="33">
        <f t="shared" si="0"/>
        <v>1</v>
      </c>
      <c r="N22" s="24"/>
    </row>
    <row r="23" spans="1:14">
      <c r="A23" s="20" t="s">
        <v>45</v>
      </c>
      <c r="B23" s="21">
        <f t="shared" si="1"/>
        <v>2</v>
      </c>
      <c r="C23" s="22" t="str">
        <f>VLOOKUP($A23,PERTANYAAN!$A$18:$E$71,3,0)</f>
        <v>SIM A (utk jabatan di Divisi Operasi)</v>
      </c>
      <c r="D23" s="23">
        <f>VLOOKUP($A23,PERTANYAAN!$A$18:$E$71,5,0)</f>
        <v>0.02</v>
      </c>
      <c r="E23" s="25"/>
      <c r="F23" s="33"/>
      <c r="G23" s="33" t="s">
        <v>37</v>
      </c>
      <c r="H23" s="34"/>
      <c r="I23" s="34"/>
      <c r="J23" s="34"/>
      <c r="K23" s="34"/>
      <c r="L23" s="34"/>
      <c r="M23" s="33">
        <f t="shared" si="0"/>
        <v>0</v>
      </c>
      <c r="N23" s="24"/>
    </row>
    <row r="24" spans="1:14">
      <c r="A24" s="20" t="s">
        <v>48</v>
      </c>
      <c r="B24" s="21">
        <f t="shared" si="1"/>
        <v>3</v>
      </c>
      <c r="C24" s="22" t="str">
        <f>VLOOKUP($A24,PERTANYAAN!$A$18:$E$71,3,0)</f>
        <v>SIM C</v>
      </c>
      <c r="D24" s="23">
        <f>VLOOKUP($A24,PERTANYAAN!$A$18:$E$71,5,0)</f>
        <v>0.01</v>
      </c>
      <c r="E24" s="25"/>
      <c r="F24" s="33"/>
      <c r="G24" s="33" t="s">
        <v>37</v>
      </c>
      <c r="H24" s="34"/>
      <c r="I24" s="34"/>
      <c r="J24" s="34"/>
      <c r="K24" s="34"/>
      <c r="L24" s="34"/>
      <c r="M24" s="33">
        <f t="shared" si="0"/>
        <v>0</v>
      </c>
      <c r="N24" s="24"/>
    </row>
    <row r="25" spans="1:14">
      <c r="A25" s="20" t="s">
        <v>51</v>
      </c>
      <c r="B25" s="21">
        <f t="shared" si="1"/>
        <v>4</v>
      </c>
      <c r="C25" s="22" t="str">
        <f>VLOOKUP($A25,PERTANYAAN!$A$18:$E$71,3,0)</f>
        <v>NPWP</v>
      </c>
      <c r="D25" s="23">
        <f>VLOOKUP($A25,PERTANYAAN!$A$18:$E$71,5,0)</f>
        <v>0.01</v>
      </c>
      <c r="E25" s="25"/>
      <c r="F25" s="33" t="s">
        <v>37</v>
      </c>
      <c r="G25" s="33"/>
      <c r="H25" s="34"/>
      <c r="I25" s="34"/>
      <c r="J25" s="34"/>
      <c r="K25" s="34"/>
      <c r="L25" s="34"/>
      <c r="M25" s="33">
        <f t="shared" si="0"/>
        <v>1</v>
      </c>
      <c r="N25" s="24"/>
    </row>
    <row r="26" spans="1:14">
      <c r="A26" s="2"/>
      <c r="B26" s="21"/>
      <c r="C26" s="24"/>
      <c r="D26" s="25"/>
      <c r="E26" s="25"/>
      <c r="F26" s="33"/>
      <c r="G26" s="33"/>
      <c r="H26" s="34"/>
      <c r="I26" s="34"/>
      <c r="J26" s="34"/>
      <c r="K26" s="34"/>
      <c r="L26" s="34"/>
      <c r="M26" s="33"/>
      <c r="N26" s="24"/>
    </row>
    <row r="27" spans="1:14">
      <c r="A27" s="2"/>
      <c r="B27" s="17" t="s">
        <v>54</v>
      </c>
      <c r="C27" s="18" t="s">
        <v>55</v>
      </c>
      <c r="D27" s="19">
        <f>D28</f>
        <v>0.35</v>
      </c>
      <c r="E27" s="35"/>
      <c r="F27" s="36"/>
      <c r="G27" s="36"/>
      <c r="H27" s="32"/>
      <c r="I27" s="32"/>
      <c r="J27" s="32"/>
      <c r="K27" s="32"/>
      <c r="L27" s="32"/>
      <c r="M27" s="31">
        <f>M28</f>
        <v>17.5</v>
      </c>
      <c r="N27" s="42"/>
    </row>
    <row r="28" spans="1:14">
      <c r="A28" s="20" t="s">
        <v>56</v>
      </c>
      <c r="B28" s="21">
        <v>1</v>
      </c>
      <c r="C28" s="22" t="str">
        <f>VLOOKUP($A28,PERTANYAAN!$A$18:$E$71,3,0)</f>
        <v>Operasi / Logistik</v>
      </c>
      <c r="D28" s="23">
        <f>VLOOKUP($A28,PERTANYAAN!$A$18:$E$71,5,0)</f>
        <v>0.35</v>
      </c>
      <c r="E28" s="25"/>
      <c r="F28" s="33"/>
      <c r="G28" s="33"/>
      <c r="H28" s="34"/>
      <c r="I28" s="34"/>
      <c r="J28" s="34"/>
      <c r="K28" s="34"/>
      <c r="L28" s="34"/>
      <c r="M28" s="33">
        <f>SUM(M29:M33)</f>
        <v>17.5</v>
      </c>
      <c r="N28" s="24"/>
    </row>
    <row r="29" spans="1:14">
      <c r="A29" s="20" t="s">
        <v>58</v>
      </c>
      <c r="B29" s="79" t="s">
        <v>59</v>
      </c>
      <c r="C29" s="22" t="str">
        <f>VLOOKUP($A29,PERTANYAAN!$A$18:$E$71,3,0)</f>
        <v>Skill Mengemudi</v>
      </c>
      <c r="D29" s="23">
        <f>VLOOKUP($A29,PERTANYAAN!$A$18:$E$71,5,0)</f>
        <v>0.15</v>
      </c>
      <c r="E29" s="25"/>
      <c r="F29" s="33"/>
      <c r="G29" s="33"/>
      <c r="H29" s="34"/>
      <c r="I29" s="34" t="s">
        <v>37</v>
      </c>
      <c r="J29" s="34"/>
      <c r="K29" s="34"/>
      <c r="L29" s="34"/>
      <c r="M29" s="33">
        <f t="shared" ref="M29:M32" si="2">IF(H29="V",$D29*H$15,IF(I29="V",$D29*I$15,IF(J29="V",$D29*J$15,IF(K29="V",$D29*K$15,IF(L29="V",$D29*L$15,0)))))*100</f>
        <v>6</v>
      </c>
      <c r="N29" s="24"/>
    </row>
    <row r="30" spans="1:14">
      <c r="A30" s="20" t="s">
        <v>62</v>
      </c>
      <c r="B30" s="79" t="s">
        <v>59</v>
      </c>
      <c r="C30" s="22" t="str">
        <f>VLOOKUP($A30,PERTANYAAN!$A$18:$E$71,3,0)</f>
        <v>Flow Administrasi Logistik</v>
      </c>
      <c r="D30" s="23">
        <f>VLOOKUP($A30,PERTANYAAN!$A$18:$E$71,5,0)</f>
        <v>0.1</v>
      </c>
      <c r="E30" s="25"/>
      <c r="F30" s="33"/>
      <c r="G30" s="33"/>
      <c r="H30" s="34"/>
      <c r="I30" s="34"/>
      <c r="J30" s="34" t="s">
        <v>37</v>
      </c>
      <c r="K30" s="34"/>
      <c r="L30" s="34"/>
      <c r="M30" s="33">
        <f t="shared" si="2"/>
        <v>6</v>
      </c>
      <c r="N30" s="24"/>
    </row>
    <row r="31" spans="1:14">
      <c r="A31" s="20" t="s">
        <v>65</v>
      </c>
      <c r="B31" s="79" t="s">
        <v>59</v>
      </c>
      <c r="C31" s="22" t="str">
        <f>VLOOKUP($A31,PERTANYAAN!$A$18:$E$71,3,0)</f>
        <v>Pengetahuan terkait logistik</v>
      </c>
      <c r="D31" s="23">
        <f>VLOOKUP($A31,PERTANYAAN!$A$18:$E$71,5,0)</f>
        <v>0.025</v>
      </c>
      <c r="E31" s="25"/>
      <c r="F31" s="33"/>
      <c r="G31" s="33"/>
      <c r="H31" s="34"/>
      <c r="I31" s="34" t="s">
        <v>37</v>
      </c>
      <c r="J31" s="34"/>
      <c r="K31" s="34"/>
      <c r="L31" s="34"/>
      <c r="M31" s="33">
        <f t="shared" si="2"/>
        <v>1</v>
      </c>
      <c r="N31" s="24"/>
    </row>
    <row r="32" spans="1:14">
      <c r="A32" s="20" t="s">
        <v>68</v>
      </c>
      <c r="B32" s="79" t="s">
        <v>59</v>
      </c>
      <c r="C32" s="22" t="str">
        <f>VLOOKUP($A32,PERTANYAAN!$A$18:$E$71,3,0)</f>
        <v>Pengalaman di Bongkar Muat</v>
      </c>
      <c r="D32" s="23">
        <f>VLOOKUP($A32,PERTANYAAN!$A$18:$E$71,5,0)</f>
        <v>0.075</v>
      </c>
      <c r="E32" s="25"/>
      <c r="F32" s="33"/>
      <c r="G32" s="33"/>
      <c r="H32" s="34"/>
      <c r="I32" s="34"/>
      <c r="J32" s="34" t="s">
        <v>37</v>
      </c>
      <c r="K32" s="34"/>
      <c r="L32" s="34"/>
      <c r="M32" s="33">
        <f t="shared" si="2"/>
        <v>4.5</v>
      </c>
      <c r="N32" s="24"/>
    </row>
    <row r="33" spans="1:14">
      <c r="A33" s="2"/>
      <c r="B33" s="21"/>
      <c r="C33" s="24"/>
      <c r="D33" s="25"/>
      <c r="E33" s="25"/>
      <c r="F33" s="33"/>
      <c r="G33" s="33"/>
      <c r="H33" s="34"/>
      <c r="I33" s="34"/>
      <c r="J33" s="34"/>
      <c r="K33" s="34"/>
      <c r="L33" s="34"/>
      <c r="M33" s="33"/>
      <c r="N33" s="24"/>
    </row>
    <row r="34" hidden="1" outlineLevel="1" spans="1:14">
      <c r="A34" s="2"/>
      <c r="B34" s="21">
        <f>B28+1</f>
        <v>2</v>
      </c>
      <c r="C34" s="24" t="s">
        <v>71</v>
      </c>
      <c r="D34" s="25">
        <f>SUM(D35:D37)</f>
        <v>0.35</v>
      </c>
      <c r="E34" s="25"/>
      <c r="F34" s="33"/>
      <c r="G34" s="33"/>
      <c r="H34" s="34"/>
      <c r="I34" s="34"/>
      <c r="J34" s="34"/>
      <c r="K34" s="34"/>
      <c r="L34" s="34"/>
      <c r="M34" s="33"/>
      <c r="N34" s="24"/>
    </row>
    <row r="35" hidden="1" outlineLevel="1" spans="1:14">
      <c r="A35" s="2"/>
      <c r="B35" s="79" t="s">
        <v>59</v>
      </c>
      <c r="C35" s="24" t="s">
        <v>72</v>
      </c>
      <c r="D35" s="25">
        <v>0.15</v>
      </c>
      <c r="E35" s="25"/>
      <c r="F35" s="33"/>
      <c r="G35" s="33"/>
      <c r="H35" s="34"/>
      <c r="I35" s="34"/>
      <c r="J35" s="34"/>
      <c r="K35" s="34"/>
      <c r="L35" s="34"/>
      <c r="M35" s="33"/>
      <c r="N35" s="24"/>
    </row>
    <row r="36" hidden="1" outlineLevel="1" spans="1:14">
      <c r="A36" s="2"/>
      <c r="B36" s="79" t="s">
        <v>59</v>
      </c>
      <c r="C36" s="24" t="s">
        <v>73</v>
      </c>
      <c r="D36" s="25">
        <v>0.2</v>
      </c>
      <c r="E36" s="25"/>
      <c r="F36" s="33"/>
      <c r="G36" s="33"/>
      <c r="H36" s="34"/>
      <c r="I36" s="34"/>
      <c r="J36" s="34"/>
      <c r="K36" s="34"/>
      <c r="L36" s="34"/>
      <c r="M36" s="33"/>
      <c r="N36" s="24"/>
    </row>
    <row r="37" hidden="1" outlineLevel="1" spans="1:14">
      <c r="A37" s="2"/>
      <c r="B37" s="21"/>
      <c r="C37" s="24"/>
      <c r="D37" s="25"/>
      <c r="E37" s="25"/>
      <c r="F37" s="33"/>
      <c r="G37" s="33"/>
      <c r="H37" s="34"/>
      <c r="I37" s="34"/>
      <c r="J37" s="34"/>
      <c r="K37" s="34"/>
      <c r="L37" s="34"/>
      <c r="M37" s="33"/>
      <c r="N37" s="24"/>
    </row>
    <row r="38" hidden="1" outlineLevel="1" spans="1:14">
      <c r="A38" s="2"/>
      <c r="B38" s="21">
        <v>3</v>
      </c>
      <c r="C38" s="24" t="s">
        <v>74</v>
      </c>
      <c r="D38" s="25"/>
      <c r="E38" s="25"/>
      <c r="F38" s="33"/>
      <c r="G38" s="33"/>
      <c r="H38" s="34"/>
      <c r="I38" s="34"/>
      <c r="J38" s="34"/>
      <c r="K38" s="34"/>
      <c r="L38" s="34"/>
      <c r="M38" s="33"/>
      <c r="N38" s="24"/>
    </row>
    <row r="39" hidden="1" outlineLevel="1" spans="1:14">
      <c r="A39" s="2"/>
      <c r="B39" s="79" t="s">
        <v>59</v>
      </c>
      <c r="C39" s="24" t="s">
        <v>75</v>
      </c>
      <c r="D39" s="25"/>
      <c r="E39" s="25"/>
      <c r="F39" s="33"/>
      <c r="G39" s="33"/>
      <c r="H39" s="34"/>
      <c r="I39" s="34"/>
      <c r="J39" s="34"/>
      <c r="K39" s="34"/>
      <c r="L39" s="34"/>
      <c r="M39" s="33"/>
      <c r="N39" s="24"/>
    </row>
    <row r="40" hidden="1" outlineLevel="1" spans="1:14">
      <c r="A40" s="2"/>
      <c r="B40" s="79" t="s">
        <v>59</v>
      </c>
      <c r="C40" s="24" t="s">
        <v>76</v>
      </c>
      <c r="D40" s="25"/>
      <c r="E40" s="25"/>
      <c r="F40" s="33"/>
      <c r="G40" s="33"/>
      <c r="H40" s="34"/>
      <c r="I40" s="34"/>
      <c r="J40" s="34"/>
      <c r="K40" s="34"/>
      <c r="L40" s="34"/>
      <c r="M40" s="33"/>
      <c r="N40" s="24"/>
    </row>
    <row r="41" hidden="1" outlineLevel="1" spans="1:14">
      <c r="A41" s="2"/>
      <c r="B41" s="79" t="s">
        <v>59</v>
      </c>
      <c r="C41" s="24"/>
      <c r="D41" s="25"/>
      <c r="E41" s="25"/>
      <c r="F41" s="33"/>
      <c r="G41" s="33"/>
      <c r="H41" s="34"/>
      <c r="I41" s="34"/>
      <c r="J41" s="34"/>
      <c r="K41" s="34"/>
      <c r="L41" s="34"/>
      <c r="M41" s="33"/>
      <c r="N41" s="24"/>
    </row>
    <row r="42" hidden="1" outlineLevel="1" spans="1:14">
      <c r="A42" s="2"/>
      <c r="B42" s="21"/>
      <c r="C42" s="24"/>
      <c r="D42" s="25"/>
      <c r="E42" s="25"/>
      <c r="F42" s="33"/>
      <c r="G42" s="33"/>
      <c r="H42" s="34"/>
      <c r="I42" s="34"/>
      <c r="J42" s="34"/>
      <c r="K42" s="34"/>
      <c r="L42" s="34"/>
      <c r="M42" s="33"/>
      <c r="N42" s="24"/>
    </row>
    <row r="43" s="1" customFormat="1" collapsed="1" spans="1:14">
      <c r="A43" s="14"/>
      <c r="B43" s="17" t="s">
        <v>77</v>
      </c>
      <c r="C43" s="18" t="s">
        <v>78</v>
      </c>
      <c r="D43" s="19">
        <f>D44</f>
        <v>0.25</v>
      </c>
      <c r="E43" s="19"/>
      <c r="F43" s="31"/>
      <c r="G43" s="31"/>
      <c r="H43" s="37"/>
      <c r="I43" s="37"/>
      <c r="J43" s="37"/>
      <c r="K43" s="37"/>
      <c r="L43" s="37"/>
      <c r="M43" s="31">
        <f>M44</f>
        <v>15</v>
      </c>
      <c r="N43" s="18"/>
    </row>
    <row r="44" spans="1:14">
      <c r="A44" s="2" t="s">
        <v>79</v>
      </c>
      <c r="B44" s="21">
        <v>1</v>
      </c>
      <c r="C44" s="22" t="str">
        <f>VLOOKUP($A44,PERTANYAAN!$A$18:$E$71,3,0)</f>
        <v>Staff</v>
      </c>
      <c r="D44" s="23">
        <f>VLOOKUP($A44,PERTANYAAN!$A$18:$E$71,5,0)</f>
        <v>0.25</v>
      </c>
      <c r="E44" s="25"/>
      <c r="F44" s="33"/>
      <c r="G44" s="33"/>
      <c r="H44" s="34"/>
      <c r="I44" s="34"/>
      <c r="J44" s="34"/>
      <c r="K44" s="34"/>
      <c r="L44" s="34"/>
      <c r="M44" s="33">
        <f>SUM(M45:M48)</f>
        <v>15</v>
      </c>
      <c r="N44" s="24"/>
    </row>
    <row r="45" spans="1:14">
      <c r="A45" s="20" t="s">
        <v>81</v>
      </c>
      <c r="B45" s="79" t="s">
        <v>59</v>
      </c>
      <c r="C45" s="22" t="str">
        <f>VLOOKUP($A45,PERTANYAAN!$A$18:$E$71,3,0)</f>
        <v>Kepemimpinan</v>
      </c>
      <c r="D45" s="23">
        <f>VLOOKUP($A45,PERTANYAAN!$A$18:$E$71,5,0)</f>
        <v>0.025</v>
      </c>
      <c r="E45" s="25"/>
      <c r="F45" s="33"/>
      <c r="G45" s="33"/>
      <c r="H45" s="34"/>
      <c r="I45" s="34" t="s">
        <v>37</v>
      </c>
      <c r="J45" s="34"/>
      <c r="K45" s="34"/>
      <c r="L45" s="34"/>
      <c r="M45" s="33">
        <f t="shared" ref="M45:M48" si="3">IF(H45="V",$D45*H$15,IF(I45="V",$D45*I$15,IF(J45="V",$D45*J$15,IF(K45="V",$D45*K$15,IF(L45="V",$D45*L$15,0)))))*100</f>
        <v>1</v>
      </c>
      <c r="N45" s="24"/>
    </row>
    <row r="46" spans="1:14">
      <c r="A46" s="20" t="s">
        <v>84</v>
      </c>
      <c r="B46" s="79" t="s">
        <v>59</v>
      </c>
      <c r="C46" s="22" t="str">
        <f>VLOOKUP($A46,PERTANYAAN!$A$18:$E$71,3,0)</f>
        <v>Komunikasi</v>
      </c>
      <c r="D46" s="23">
        <f>VLOOKUP($A46,PERTANYAAN!$A$18:$E$71,5,0)</f>
        <v>0.1</v>
      </c>
      <c r="E46" s="25"/>
      <c r="F46" s="33"/>
      <c r="G46" s="33"/>
      <c r="H46" s="34"/>
      <c r="I46" s="34" t="s">
        <v>37</v>
      </c>
      <c r="J46" s="34"/>
      <c r="K46" s="34"/>
      <c r="L46" s="34"/>
      <c r="M46" s="33">
        <f t="shared" si="3"/>
        <v>4</v>
      </c>
      <c r="N46" s="24"/>
    </row>
    <row r="47" spans="1:14">
      <c r="A47" s="20" t="s">
        <v>87</v>
      </c>
      <c r="B47" s="79" t="s">
        <v>59</v>
      </c>
      <c r="C47" s="22" t="str">
        <f>VLOOKUP($A47,PERTANYAAN!$A$18:$E$71,3,0)</f>
        <v>Patuh pada Peraturan / Commitment</v>
      </c>
      <c r="D47" s="23">
        <f>VLOOKUP($A47,PERTANYAAN!$A$18:$E$71,5,0)</f>
        <v>0.05</v>
      </c>
      <c r="E47" s="25"/>
      <c r="F47" s="33"/>
      <c r="G47" s="33"/>
      <c r="H47" s="34"/>
      <c r="I47" s="34"/>
      <c r="J47" s="34"/>
      <c r="K47" s="34" t="s">
        <v>37</v>
      </c>
      <c r="L47" s="34"/>
      <c r="M47" s="33">
        <f t="shared" si="3"/>
        <v>4</v>
      </c>
      <c r="N47" s="24"/>
    </row>
    <row r="48" spans="1:14">
      <c r="A48" s="20" t="s">
        <v>90</v>
      </c>
      <c r="B48" s="79" t="s">
        <v>59</v>
      </c>
      <c r="C48" s="22" t="str">
        <f>VLOOKUP($A48,PERTANYAAN!$A$18:$E$71,3,0)</f>
        <v>Determinasi thd tekanan</v>
      </c>
      <c r="D48" s="23">
        <f>VLOOKUP($A48,PERTANYAAN!$A$18:$E$71,5,0)</f>
        <v>0.075</v>
      </c>
      <c r="E48" s="25"/>
      <c r="F48" s="33"/>
      <c r="G48" s="33"/>
      <c r="H48" s="34"/>
      <c r="I48" s="34"/>
      <c r="J48" s="34"/>
      <c r="K48" s="34" t="s">
        <v>37</v>
      </c>
      <c r="L48" s="34"/>
      <c r="M48" s="33">
        <f t="shared" si="3"/>
        <v>6</v>
      </c>
      <c r="N48" s="24"/>
    </row>
    <row r="49" spans="1:14">
      <c r="A49" s="2"/>
      <c r="B49" s="21"/>
      <c r="C49" s="24"/>
      <c r="D49" s="25"/>
      <c r="E49" s="25"/>
      <c r="F49" s="33"/>
      <c r="G49" s="33"/>
      <c r="H49" s="34"/>
      <c r="I49" s="34"/>
      <c r="J49" s="34"/>
      <c r="K49" s="34"/>
      <c r="L49" s="34"/>
      <c r="M49" s="33"/>
      <c r="N49" s="24"/>
    </row>
    <row r="50" hidden="1" outlineLevel="1" spans="1:14">
      <c r="A50" s="2"/>
      <c r="B50" s="21">
        <v>2</v>
      </c>
      <c r="C50" s="24" t="s">
        <v>93</v>
      </c>
      <c r="D50" s="25"/>
      <c r="E50" s="25"/>
      <c r="F50" s="33"/>
      <c r="G50" s="33"/>
      <c r="H50" s="34"/>
      <c r="I50" s="34"/>
      <c r="J50" s="34"/>
      <c r="K50" s="34"/>
      <c r="L50" s="34"/>
      <c r="M50" s="33"/>
      <c r="N50" s="24"/>
    </row>
    <row r="51" hidden="1" outlineLevel="1" spans="1:14">
      <c r="A51" s="2"/>
      <c r="B51" s="79" t="s">
        <v>59</v>
      </c>
      <c r="C51" s="24" t="s">
        <v>82</v>
      </c>
      <c r="D51" s="25"/>
      <c r="E51" s="25"/>
      <c r="F51" s="33"/>
      <c r="G51" s="33"/>
      <c r="H51" s="34"/>
      <c r="I51" s="34"/>
      <c r="J51" s="34"/>
      <c r="K51" s="34"/>
      <c r="L51" s="34"/>
      <c r="M51" s="33"/>
      <c r="N51" s="24"/>
    </row>
    <row r="52" hidden="1" outlineLevel="1" spans="1:14">
      <c r="A52" s="2"/>
      <c r="B52" s="79" t="s">
        <v>59</v>
      </c>
      <c r="C52" s="24" t="s">
        <v>94</v>
      </c>
      <c r="D52" s="25"/>
      <c r="E52" s="25"/>
      <c r="F52" s="33"/>
      <c r="G52" s="33"/>
      <c r="H52" s="34"/>
      <c r="I52" s="34"/>
      <c r="J52" s="34"/>
      <c r="K52" s="34"/>
      <c r="L52" s="34"/>
      <c r="M52" s="33"/>
      <c r="N52" s="24"/>
    </row>
    <row r="53" hidden="1" outlineLevel="1" spans="1:14">
      <c r="A53" s="2"/>
      <c r="B53" s="79" t="s">
        <v>59</v>
      </c>
      <c r="C53" s="24" t="s">
        <v>95</v>
      </c>
      <c r="D53" s="25"/>
      <c r="E53" s="25"/>
      <c r="F53" s="33"/>
      <c r="G53" s="33"/>
      <c r="H53" s="34"/>
      <c r="I53" s="34"/>
      <c r="J53" s="34"/>
      <c r="K53" s="34"/>
      <c r="L53" s="34"/>
      <c r="M53" s="33"/>
      <c r="N53" s="24"/>
    </row>
    <row r="54" hidden="1" outlineLevel="1" spans="1:14">
      <c r="A54" s="2"/>
      <c r="B54" s="21"/>
      <c r="C54" s="24"/>
      <c r="D54" s="25"/>
      <c r="E54" s="25"/>
      <c r="F54" s="33"/>
      <c r="G54" s="33"/>
      <c r="H54" s="34"/>
      <c r="I54" s="34"/>
      <c r="J54" s="34"/>
      <c r="K54" s="34"/>
      <c r="L54" s="34"/>
      <c r="M54" s="33"/>
      <c r="N54" s="24"/>
    </row>
    <row r="55" hidden="1" outlineLevel="1" spans="1:14">
      <c r="A55" s="2"/>
      <c r="B55" s="21">
        <v>3</v>
      </c>
      <c r="C55" s="24" t="s">
        <v>96</v>
      </c>
      <c r="D55" s="25"/>
      <c r="E55" s="25"/>
      <c r="F55" s="33"/>
      <c r="G55" s="33"/>
      <c r="H55" s="34"/>
      <c r="I55" s="34"/>
      <c r="J55" s="34"/>
      <c r="K55" s="34"/>
      <c r="L55" s="34"/>
      <c r="M55" s="33"/>
      <c r="N55" s="24"/>
    </row>
    <row r="56" hidden="1" outlineLevel="1" spans="1:14">
      <c r="A56" s="2"/>
      <c r="B56" s="79" t="s">
        <v>59</v>
      </c>
      <c r="C56" s="24" t="s">
        <v>82</v>
      </c>
      <c r="D56" s="25"/>
      <c r="E56" s="25"/>
      <c r="F56" s="33"/>
      <c r="G56" s="33"/>
      <c r="H56" s="34"/>
      <c r="I56" s="34"/>
      <c r="J56" s="34"/>
      <c r="K56" s="34"/>
      <c r="L56" s="34"/>
      <c r="M56" s="33"/>
      <c r="N56" s="24"/>
    </row>
    <row r="57" hidden="1" outlineLevel="1" spans="1:14">
      <c r="A57" s="2"/>
      <c r="B57" s="79" t="s">
        <v>59</v>
      </c>
      <c r="C57" s="24" t="s">
        <v>95</v>
      </c>
      <c r="D57" s="25"/>
      <c r="E57" s="25"/>
      <c r="F57" s="33"/>
      <c r="G57" s="33"/>
      <c r="H57" s="34"/>
      <c r="I57" s="34"/>
      <c r="J57" s="34"/>
      <c r="K57" s="34"/>
      <c r="L57" s="34"/>
      <c r="M57" s="33"/>
      <c r="N57" s="24"/>
    </row>
    <row r="58" hidden="1" outlineLevel="1" spans="1:14">
      <c r="A58" s="2"/>
      <c r="B58" s="79" t="s">
        <v>59</v>
      </c>
      <c r="C58" s="24" t="s">
        <v>97</v>
      </c>
      <c r="D58" s="25"/>
      <c r="E58" s="25"/>
      <c r="F58" s="33"/>
      <c r="G58" s="33"/>
      <c r="H58" s="34"/>
      <c r="I58" s="34"/>
      <c r="J58" s="34"/>
      <c r="K58" s="34"/>
      <c r="L58" s="34"/>
      <c r="M58" s="33"/>
      <c r="N58" s="24"/>
    </row>
    <row r="59" hidden="1" outlineLevel="1" spans="1:14">
      <c r="A59" s="2"/>
      <c r="B59" s="21"/>
      <c r="C59" s="24"/>
      <c r="D59" s="25"/>
      <c r="E59" s="25"/>
      <c r="F59" s="33"/>
      <c r="G59" s="33"/>
      <c r="H59" s="34"/>
      <c r="I59" s="34"/>
      <c r="J59" s="34"/>
      <c r="K59" s="34"/>
      <c r="L59" s="34"/>
      <c r="M59" s="33"/>
      <c r="N59" s="24"/>
    </row>
    <row r="60" s="1" customFormat="1" collapsed="1" spans="1:14">
      <c r="A60" s="14"/>
      <c r="B60" s="17" t="s">
        <v>98</v>
      </c>
      <c r="C60" s="18" t="s">
        <v>99</v>
      </c>
      <c r="D60" s="19">
        <f>SUM(D61:D64)</f>
        <v>0.15</v>
      </c>
      <c r="E60" s="19"/>
      <c r="F60" s="31"/>
      <c r="G60" s="31"/>
      <c r="H60" s="37"/>
      <c r="I60" s="37"/>
      <c r="J60" s="37"/>
      <c r="K60" s="37"/>
      <c r="L60" s="37"/>
      <c r="M60" s="31">
        <f>SUM(M61:M64)</f>
        <v>10.5</v>
      </c>
      <c r="N60" s="18"/>
    </row>
    <row r="61" spans="1:14">
      <c r="A61" s="20" t="s">
        <v>100</v>
      </c>
      <c r="B61" s="79" t="s">
        <v>59</v>
      </c>
      <c r="C61" s="22" t="str">
        <f>VLOOKUP($A61,PERTANYAAN!$A$18:$E$71,3,0)</f>
        <v>Antusiasme / Keinginan bergabung</v>
      </c>
      <c r="D61" s="23">
        <f>VLOOKUP($A61,PERTANYAAN!$A$18:$E$71,5,0)</f>
        <v>0.075</v>
      </c>
      <c r="E61" s="25"/>
      <c r="F61" s="33"/>
      <c r="G61" s="33"/>
      <c r="H61" s="34"/>
      <c r="I61" s="34"/>
      <c r="J61" s="34"/>
      <c r="K61" s="34" t="s">
        <v>37</v>
      </c>
      <c r="L61" s="34"/>
      <c r="M61" s="33">
        <f t="shared" ref="M61:M63" si="4">IF(H61="V",$D61*H$15,IF(I61="V",$D61*I$15,IF(J61="V",$D61*J$15,IF(K61="V",$D61*K$15,IF(L61="V",$D61*L$15,0)))))*100</f>
        <v>6</v>
      </c>
      <c r="N61" s="24"/>
    </row>
    <row r="62" spans="1:14">
      <c r="A62" s="20" t="s">
        <v>103</v>
      </c>
      <c r="B62" s="79" t="s">
        <v>59</v>
      </c>
      <c r="C62" s="22" t="str">
        <f>VLOOKUP($A62,PERTANYAAN!$A$18:$E$71,3,0)</f>
        <v>Inisiatif</v>
      </c>
      <c r="D62" s="23">
        <f>VLOOKUP($A62,PERTANYAAN!$A$18:$E$71,5,0)</f>
        <v>0.05</v>
      </c>
      <c r="E62" s="25"/>
      <c r="F62" s="33"/>
      <c r="G62" s="33"/>
      <c r="H62" s="34"/>
      <c r="I62" s="34"/>
      <c r="J62" s="34" t="s">
        <v>37</v>
      </c>
      <c r="K62" s="34"/>
      <c r="L62" s="34"/>
      <c r="M62" s="33">
        <f t="shared" si="4"/>
        <v>3</v>
      </c>
      <c r="N62" s="24"/>
    </row>
    <row r="63" spans="1:14">
      <c r="A63" s="20" t="s">
        <v>106</v>
      </c>
      <c r="B63" s="79" t="s">
        <v>59</v>
      </c>
      <c r="C63" s="22" t="str">
        <f>VLOOKUP($A63,PERTANYAAN!$A$18:$E$71,3,0)</f>
        <v>Adaptif</v>
      </c>
      <c r="D63" s="23">
        <f>VLOOKUP($A63,PERTANYAAN!$A$18:$E$71,5,0)</f>
        <v>0.025</v>
      </c>
      <c r="E63" s="25"/>
      <c r="F63" s="33"/>
      <c r="G63" s="33"/>
      <c r="H63" s="34"/>
      <c r="I63" s="34"/>
      <c r="J63" s="34" t="s">
        <v>37</v>
      </c>
      <c r="K63" s="34"/>
      <c r="L63" s="34"/>
      <c r="M63" s="33">
        <f t="shared" si="4"/>
        <v>1.5</v>
      </c>
      <c r="N63" s="24"/>
    </row>
    <row r="64" spans="1:14">
      <c r="A64" s="2"/>
      <c r="B64" s="21"/>
      <c r="C64" s="24"/>
      <c r="D64" s="25"/>
      <c r="E64" s="25"/>
      <c r="F64" s="33"/>
      <c r="G64" s="33"/>
      <c r="H64" s="34"/>
      <c r="I64" s="34"/>
      <c r="J64" s="34"/>
      <c r="K64" s="34"/>
      <c r="L64" s="34"/>
      <c r="M64" s="33"/>
      <c r="N64" s="24"/>
    </row>
    <row r="65" s="1" customFormat="1" spans="1:14">
      <c r="A65" s="14"/>
      <c r="B65" s="17" t="s">
        <v>109</v>
      </c>
      <c r="C65" s="18" t="s">
        <v>110</v>
      </c>
      <c r="D65" s="19">
        <f>SUM(D66:D68)</f>
        <v>0.05</v>
      </c>
      <c r="E65" s="19"/>
      <c r="F65" s="31"/>
      <c r="G65" s="31"/>
      <c r="H65" s="37"/>
      <c r="I65" s="37"/>
      <c r="J65" s="37"/>
      <c r="K65" s="37"/>
      <c r="L65" s="37"/>
      <c r="M65" s="31">
        <f>SUM(M66:M68)</f>
        <v>4</v>
      </c>
      <c r="N65" s="18"/>
    </row>
    <row r="66" spans="1:14">
      <c r="A66" s="20" t="s">
        <v>111</v>
      </c>
      <c r="B66" s="79" t="s">
        <v>59</v>
      </c>
      <c r="C66" s="22" t="str">
        <f>VLOOKUP($A66,PERTANYAAN!$A$18:$E$71,3,0)</f>
        <v>Ekspektasi Salary (Mengukur Budget &amp; Skill)</v>
      </c>
      <c r="D66" s="23">
        <f>VLOOKUP($A66,PERTANYAAN!$A$18:$E$71,5,0)</f>
        <v>0.04</v>
      </c>
      <c r="E66" s="25"/>
      <c r="F66" s="33"/>
      <c r="G66" s="33"/>
      <c r="H66" s="34"/>
      <c r="I66" s="34"/>
      <c r="J66" s="34"/>
      <c r="K66" s="34" t="s">
        <v>37</v>
      </c>
      <c r="L66" s="34"/>
      <c r="M66" s="33">
        <f t="shared" ref="M66:M70" si="5">IF(H66="V",$D66*H$15,IF(I66="V",$D66*I$15,IF(J66="V",$D66*J$15,IF(K66="V",$D66*K$15,IF(L66="V",$D66*L$15,0)))))*100</f>
        <v>3.2</v>
      </c>
      <c r="N66" s="24" t="s">
        <v>161</v>
      </c>
    </row>
    <row r="67" spans="1:14">
      <c r="A67" s="20" t="s">
        <v>114</v>
      </c>
      <c r="B67" s="79" t="s">
        <v>59</v>
      </c>
      <c r="C67" s="22" t="str">
        <f>VLOOKUP($A67,PERTANYAAN!$A$18:$E$71,3,0)</f>
        <v>Tujuan Karir</v>
      </c>
      <c r="D67" s="23">
        <f>VLOOKUP($A67,PERTANYAAN!$A$18:$E$71,5,0)</f>
        <v>0.01</v>
      </c>
      <c r="E67" s="25"/>
      <c r="F67" s="33"/>
      <c r="G67" s="33"/>
      <c r="H67" s="34"/>
      <c r="I67" s="34"/>
      <c r="J67" s="34"/>
      <c r="K67" s="34" t="s">
        <v>37</v>
      </c>
      <c r="L67" s="34"/>
      <c r="M67" s="33">
        <f t="shared" si="5"/>
        <v>0.8</v>
      </c>
      <c r="N67" s="24"/>
    </row>
    <row r="68" spans="1:14">
      <c r="A68" s="20"/>
      <c r="B68" s="21"/>
      <c r="C68" s="24"/>
      <c r="D68" s="25"/>
      <c r="E68" s="25"/>
      <c r="F68" s="33"/>
      <c r="G68" s="33"/>
      <c r="H68" s="34"/>
      <c r="I68" s="34"/>
      <c r="J68" s="34"/>
      <c r="K68" s="34"/>
      <c r="L68" s="34"/>
      <c r="M68" s="33"/>
      <c r="N68" s="24"/>
    </row>
    <row r="69" s="1" customFormat="1" spans="1:14">
      <c r="A69" s="14"/>
      <c r="B69" s="17" t="s">
        <v>117</v>
      </c>
      <c r="C69" s="18" t="s">
        <v>118</v>
      </c>
      <c r="D69" s="19">
        <f>SUM(D70:D70)</f>
        <v>0.05</v>
      </c>
      <c r="E69" s="19"/>
      <c r="F69" s="31"/>
      <c r="G69" s="31"/>
      <c r="H69" s="37"/>
      <c r="I69" s="37"/>
      <c r="J69" s="37"/>
      <c r="K69" s="37"/>
      <c r="L69" s="37"/>
      <c r="M69" s="31">
        <f>SUM(M70)</f>
        <v>3</v>
      </c>
      <c r="N69" s="18"/>
    </row>
    <row r="70" spans="1:17">
      <c r="A70" s="20" t="s">
        <v>119</v>
      </c>
      <c r="B70" s="79" t="s">
        <v>59</v>
      </c>
      <c r="C70" s="22" t="str">
        <f>VLOOKUP($A70,PERTANYAAN!$A$18:$E$71,3,0)</f>
        <v>Pertanyaan Spesifik User</v>
      </c>
      <c r="D70" s="23">
        <f>VLOOKUP($A70,PERTANYAAN!$A$18:$E$71,5,0)</f>
        <v>0.05</v>
      </c>
      <c r="E70" s="25"/>
      <c r="F70" s="33"/>
      <c r="G70" s="33"/>
      <c r="H70" s="34"/>
      <c r="I70" s="34"/>
      <c r="J70" s="34" t="s">
        <v>37</v>
      </c>
      <c r="K70" s="34"/>
      <c r="L70" s="34"/>
      <c r="M70" s="33">
        <f t="shared" si="5"/>
        <v>3</v>
      </c>
      <c r="N70" s="24"/>
      <c r="P70" t="s">
        <v>150</v>
      </c>
      <c r="Q70" t="s">
        <v>162</v>
      </c>
    </row>
    <row r="71" spans="2:17">
      <c r="B71" s="43"/>
      <c r="C71" s="44"/>
      <c r="D71" s="45"/>
      <c r="E71" s="45"/>
      <c r="F71" s="46"/>
      <c r="G71" s="46"/>
      <c r="H71" s="47"/>
      <c r="I71" s="47"/>
      <c r="J71" s="47"/>
      <c r="K71" s="47"/>
      <c r="L71" s="47"/>
      <c r="M71" s="46"/>
      <c r="N71" s="44"/>
      <c r="P71" t="s">
        <v>152</v>
      </c>
      <c r="Q71" s="50" t="s">
        <v>163</v>
      </c>
    </row>
    <row r="72" spans="17:17">
      <c r="Q72" s="50" t="s">
        <v>164</v>
      </c>
    </row>
    <row r="73" spans="8:8">
      <c r="H73" s="48" t="s">
        <v>23</v>
      </c>
    </row>
    <row r="74" spans="8:10">
      <c r="H74" s="5" t="s">
        <v>26</v>
      </c>
      <c r="I74" s="5" t="s">
        <v>3</v>
      </c>
      <c r="J74" s="49" t="s">
        <v>122</v>
      </c>
    </row>
    <row r="75" spans="8:10">
      <c r="H75" s="5" t="s">
        <v>27</v>
      </c>
      <c r="I75" s="5" t="s">
        <v>3</v>
      </c>
      <c r="J75" s="49" t="s">
        <v>123</v>
      </c>
    </row>
    <row r="76" spans="8:10">
      <c r="H76" s="5" t="s">
        <v>28</v>
      </c>
      <c r="I76" s="5" t="s">
        <v>3</v>
      </c>
      <c r="J76" s="49" t="s">
        <v>124</v>
      </c>
    </row>
    <row r="77" spans="8:10">
      <c r="H77" s="5" t="s">
        <v>29</v>
      </c>
      <c r="I77" s="5" t="s">
        <v>3</v>
      </c>
      <c r="J77" s="49" t="s">
        <v>125</v>
      </c>
    </row>
    <row r="78" spans="8:10">
      <c r="H78" s="5" t="s">
        <v>30</v>
      </c>
      <c r="I78" s="5" t="s">
        <v>3</v>
      </c>
      <c r="J78" s="49" t="s">
        <v>126</v>
      </c>
    </row>
  </sheetData>
  <mergeCells count="8">
    <mergeCell ref="F13:G13"/>
    <mergeCell ref="H13:L13"/>
    <mergeCell ref="A13:A14"/>
    <mergeCell ref="B13:B14"/>
    <mergeCell ref="C13:C14"/>
    <mergeCell ref="D13:D14"/>
    <mergeCell ref="M13:M14"/>
    <mergeCell ref="N13:N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PERTANYAAN</vt:lpstr>
      <vt:lpstr>REKAP</vt:lpstr>
      <vt:lpstr>RESUME</vt:lpstr>
      <vt:lpstr>PENILAIAN-HR</vt:lpstr>
      <vt:lpstr>PENILAIAN-ILHAM</vt:lpstr>
      <vt:lpstr>PENILAIAN-DICKY</vt:lpstr>
      <vt:lpstr>PENILAIAN-DONY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Anggy Putra</dc:creator>
  <cp:lastModifiedBy>hsl</cp:lastModifiedBy>
  <dcterms:created xsi:type="dcterms:W3CDTF">2026-03-15T17:24:00Z</dcterms:created>
  <dcterms:modified xsi:type="dcterms:W3CDTF">2026-04-28T16:53:23Z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728A081058C73EDC7D75F069F3CE2A71_43</vt:lpwstr>
  </property>
  <property fmtid="{D5CDD505-2E9C-101B-9397-08002B2CF9AE}" pid="3" name="KSOProductBuildVer">
    <vt:lpwstr>1033-12.8.2.14811</vt:lpwstr>
  </property>
</Properties>
</file>