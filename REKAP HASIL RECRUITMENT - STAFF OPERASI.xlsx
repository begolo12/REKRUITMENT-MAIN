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gy\Downloads\"/>
    </mc:Choice>
  </mc:AlternateContent>
  <xr:revisionPtr revIDLastSave="0" documentId="8_{73B07C90-77CA-4ABD-A450-1DE26AC41956}" xr6:coauthVersionLast="47" xr6:coauthVersionMax="47" xr10:uidLastSave="{00000000-0000-0000-0000-000000000000}"/>
  <bookViews>
    <workbookView xWindow="-120" yWindow="-120" windowWidth="38640" windowHeight="15720" activeTab="1" xr2:uid="{B7A3D6D3-2207-4E7E-91E0-36613454C60F}"/>
  </bookViews>
  <sheets>
    <sheet name="PERTANYAAN" sheetId="3" r:id="rId1"/>
    <sheet name="REKAP" sheetId="8" r:id="rId2"/>
    <sheet name="HASIL-SADAM" sheetId="5" r:id="rId3"/>
    <sheet name="HASIL-IMAN" sheetId="28" r:id="rId4"/>
    <sheet name="HASIL-DENY" sheetId="29" r:id="rId5"/>
    <sheet name="HASIL-OPIK" sheetId="30" r:id="rId6"/>
    <sheet name="HASIL-DIAN" sheetId="31" r:id="rId7"/>
    <sheet name="HR (SADAM)" sheetId="11" state="hidden" r:id="rId8"/>
    <sheet name="HR (IMAN)" sheetId="10" state="hidden" r:id="rId9"/>
    <sheet name="HR (DENY)" sheetId="1" state="hidden" r:id="rId10"/>
    <sheet name="HR (OPIK)" sheetId="12" state="hidden" r:id="rId11"/>
    <sheet name="HR (DIAN)" sheetId="9" state="hidden" r:id="rId12"/>
    <sheet name="USER1-SADAM" sheetId="19" state="hidden" r:id="rId13"/>
    <sheet name="USER1-IMAN" sheetId="20" state="hidden" r:id="rId14"/>
    <sheet name="USER1-DENY" sheetId="17" state="hidden" r:id="rId15"/>
    <sheet name="USER1-TAUFIK" sheetId="21" state="hidden" r:id="rId16"/>
    <sheet name="USER1-DIAN" sheetId="18" state="hidden" r:id="rId17"/>
    <sheet name="USER2-SADAM" sheetId="14" state="hidden" r:id="rId18"/>
    <sheet name="USER2-IMAN" sheetId="15" state="hidden" r:id="rId19"/>
    <sheet name="USER2-DENY" sheetId="13" state="hidden" r:id="rId20"/>
    <sheet name="USER2-TAUFIK" sheetId="16" state="hidden" r:id="rId21"/>
    <sheet name="MANAGER-SADAM" sheetId="23" state="hidden" r:id="rId22"/>
    <sheet name="MANAGER-IMAN" sheetId="24" state="hidden" r:id="rId23"/>
    <sheet name="MANAGER-DENY" sheetId="25" state="hidden" r:id="rId24"/>
    <sheet name="MANAGER-TAUFIK" sheetId="26" state="hidden" r:id="rId25"/>
    <sheet name="MANAGER-DIAN" sheetId="27" state="hidden" r:id="rId26"/>
    <sheet name="PENILAIAN-USER 1" sheetId="4" state="hidden" r:id="rId27"/>
    <sheet name="PENILAIAN-USER 2" sheetId="6" state="hidden" r:id="rId28"/>
    <sheet name="PENILAIAN-MANAGER" sheetId="7" state="hidden" r:id="rId29"/>
  </sheets>
  <externalReferences>
    <externalReference r:id="rId30"/>
    <externalReference r:id="rId31"/>
    <externalReference r:id="rId3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28" l="1"/>
  <c r="G70" i="28"/>
  <c r="M70" i="11"/>
  <c r="M70" i="9"/>
  <c r="H9" i="8"/>
  <c r="F9" i="8"/>
  <c r="J67" i="31"/>
  <c r="J66" i="31"/>
  <c r="J63" i="31"/>
  <c r="J62" i="31"/>
  <c r="J61" i="31"/>
  <c r="J60" i="31" s="1"/>
  <c r="J48" i="31"/>
  <c r="J47" i="31"/>
  <c r="J46" i="31"/>
  <c r="J45" i="31"/>
  <c r="J32" i="31"/>
  <c r="J31" i="31"/>
  <c r="J30" i="31"/>
  <c r="J29" i="31"/>
  <c r="J25" i="31"/>
  <c r="J24" i="31"/>
  <c r="J23" i="31"/>
  <c r="J22" i="31"/>
  <c r="J21" i="31" s="1"/>
  <c r="J19" i="31"/>
  <c r="J18" i="31"/>
  <c r="H70" i="31"/>
  <c r="H67" i="31"/>
  <c r="H66" i="31"/>
  <c r="H63" i="31"/>
  <c r="H62" i="31"/>
  <c r="H61" i="31"/>
  <c r="H48" i="31"/>
  <c r="H47" i="31"/>
  <c r="H46" i="31"/>
  <c r="H44" i="31" s="1"/>
  <c r="H43" i="31" s="1"/>
  <c r="H45" i="31"/>
  <c r="H32" i="31"/>
  <c r="H31" i="31"/>
  <c r="H30" i="31"/>
  <c r="H29" i="31"/>
  <c r="H25" i="31"/>
  <c r="H24" i="31"/>
  <c r="H23" i="31"/>
  <c r="H21" i="31" s="1"/>
  <c r="H22" i="31"/>
  <c r="H19" i="31"/>
  <c r="H18" i="31"/>
  <c r="G67" i="31"/>
  <c r="G66" i="31"/>
  <c r="G63" i="31"/>
  <c r="G62" i="31"/>
  <c r="G61" i="31"/>
  <c r="G60" i="31" s="1"/>
  <c r="G48" i="31"/>
  <c r="G47" i="31"/>
  <c r="G46" i="31"/>
  <c r="G45" i="31"/>
  <c r="G32" i="31"/>
  <c r="G31" i="31"/>
  <c r="G30" i="31"/>
  <c r="G28" i="31" s="1"/>
  <c r="G27" i="31" s="1"/>
  <c r="G29" i="31"/>
  <c r="G25" i="31"/>
  <c r="G24" i="31"/>
  <c r="G23" i="31"/>
  <c r="G22" i="31"/>
  <c r="G21" i="31" s="1"/>
  <c r="G19" i="31"/>
  <c r="G18" i="31"/>
  <c r="H12" i="8"/>
  <c r="G12" i="8"/>
  <c r="F12" i="8"/>
  <c r="J67" i="30"/>
  <c r="K67" i="30" s="1"/>
  <c r="J66" i="30"/>
  <c r="J63" i="30"/>
  <c r="J62" i="30"/>
  <c r="J61" i="30"/>
  <c r="J48" i="30"/>
  <c r="J47" i="30"/>
  <c r="J46" i="30"/>
  <c r="J45" i="30"/>
  <c r="J44" i="30" s="1"/>
  <c r="J43" i="30" s="1"/>
  <c r="J32" i="30"/>
  <c r="J31" i="30"/>
  <c r="J30" i="30"/>
  <c r="J29" i="30"/>
  <c r="J28" i="30" s="1"/>
  <c r="J27" i="30" s="1"/>
  <c r="J25" i="30"/>
  <c r="J24" i="30"/>
  <c r="J23" i="30"/>
  <c r="J22" i="30"/>
  <c r="J19" i="30"/>
  <c r="J18" i="30"/>
  <c r="I70" i="30"/>
  <c r="I67" i="30"/>
  <c r="I66" i="30"/>
  <c r="I63" i="30"/>
  <c r="I62" i="30"/>
  <c r="I61" i="30"/>
  <c r="I60" i="30" s="1"/>
  <c r="I48" i="30"/>
  <c r="I47" i="30"/>
  <c r="I46" i="30"/>
  <c r="I45" i="30"/>
  <c r="I32" i="30"/>
  <c r="I31" i="30"/>
  <c r="I30" i="30"/>
  <c r="I28" i="30" s="1"/>
  <c r="I27" i="30" s="1"/>
  <c r="I29" i="30"/>
  <c r="I25" i="30"/>
  <c r="I24" i="30"/>
  <c r="I23" i="30"/>
  <c r="I21" i="30" s="1"/>
  <c r="I22" i="30"/>
  <c r="I19" i="30"/>
  <c r="I18" i="30"/>
  <c r="H70" i="30"/>
  <c r="H67" i="30"/>
  <c r="H66" i="30"/>
  <c r="H63" i="30"/>
  <c r="H62" i="30"/>
  <c r="H61" i="30"/>
  <c r="H48" i="30"/>
  <c r="H47" i="30"/>
  <c r="H46" i="30"/>
  <c r="H45" i="30"/>
  <c r="H32" i="30"/>
  <c r="H31" i="30"/>
  <c r="H30" i="30"/>
  <c r="H29" i="30"/>
  <c r="H28" i="30" s="1"/>
  <c r="H27" i="30" s="1"/>
  <c r="H25" i="30"/>
  <c r="H24" i="30"/>
  <c r="H23" i="30"/>
  <c r="H21" i="30" s="1"/>
  <c r="H22" i="30"/>
  <c r="H19" i="30"/>
  <c r="H18" i="30"/>
  <c r="G67" i="30"/>
  <c r="G66" i="30"/>
  <c r="G65" i="30" s="1"/>
  <c r="G63" i="30"/>
  <c r="G62" i="30"/>
  <c r="G61" i="30"/>
  <c r="G48" i="30"/>
  <c r="G47" i="30"/>
  <c r="G46" i="30"/>
  <c r="G44" i="30" s="1"/>
  <c r="G43" i="30" s="1"/>
  <c r="G45" i="30"/>
  <c r="G32" i="30"/>
  <c r="G31" i="30"/>
  <c r="G30" i="30"/>
  <c r="G29" i="30"/>
  <c r="G25" i="30"/>
  <c r="G24" i="30"/>
  <c r="G23" i="30"/>
  <c r="G22" i="30"/>
  <c r="G21" i="30" s="1"/>
  <c r="G19" i="30"/>
  <c r="G18" i="30"/>
  <c r="H10" i="8"/>
  <c r="G10" i="8"/>
  <c r="F10" i="8"/>
  <c r="J19" i="29"/>
  <c r="J67" i="29"/>
  <c r="J66" i="29"/>
  <c r="J63" i="29"/>
  <c r="J62" i="29"/>
  <c r="J61" i="29"/>
  <c r="J48" i="29"/>
  <c r="J47" i="29"/>
  <c r="J46" i="29"/>
  <c r="K46" i="29" s="1"/>
  <c r="J45" i="29"/>
  <c r="J32" i="29"/>
  <c r="J31" i="29"/>
  <c r="J30" i="29"/>
  <c r="J29" i="29"/>
  <c r="J25" i="29"/>
  <c r="J24" i="29"/>
  <c r="J23" i="29"/>
  <c r="J22" i="29"/>
  <c r="J21" i="29" s="1"/>
  <c r="J18" i="29"/>
  <c r="I70" i="29"/>
  <c r="I67" i="29"/>
  <c r="I66" i="29"/>
  <c r="I63" i="29"/>
  <c r="I62" i="29"/>
  <c r="I61" i="29"/>
  <c r="I48" i="29"/>
  <c r="I47" i="29"/>
  <c r="I46" i="29"/>
  <c r="I45" i="29"/>
  <c r="I44" i="29" s="1"/>
  <c r="I43" i="29" s="1"/>
  <c r="I32" i="29"/>
  <c r="I31" i="29"/>
  <c r="I30" i="29"/>
  <c r="I29" i="29"/>
  <c r="I25" i="29"/>
  <c r="I24" i="29"/>
  <c r="I23" i="29"/>
  <c r="I22" i="29"/>
  <c r="I19" i="29"/>
  <c r="I18" i="29"/>
  <c r="H70" i="29"/>
  <c r="H67" i="29"/>
  <c r="H66" i="29"/>
  <c r="H63" i="29"/>
  <c r="H62" i="29"/>
  <c r="H61" i="29"/>
  <c r="H60" i="29" s="1"/>
  <c r="H48" i="29"/>
  <c r="H47" i="29"/>
  <c r="H46" i="29"/>
  <c r="H45" i="29"/>
  <c r="H44" i="29" s="1"/>
  <c r="H43" i="29" s="1"/>
  <c r="H32" i="29"/>
  <c r="H31" i="29"/>
  <c r="K31" i="29" s="1"/>
  <c r="H30" i="29"/>
  <c r="H28" i="29" s="1"/>
  <c r="H27" i="29" s="1"/>
  <c r="H29" i="29"/>
  <c r="H25" i="29"/>
  <c r="H24" i="29"/>
  <c r="H23" i="29"/>
  <c r="H22" i="29"/>
  <c r="H21" i="29" s="1"/>
  <c r="H19" i="29"/>
  <c r="H18" i="29"/>
  <c r="G67" i="29"/>
  <c r="G66" i="29"/>
  <c r="G63" i="29"/>
  <c r="G62" i="29"/>
  <c r="G61" i="29"/>
  <c r="G48" i="29"/>
  <c r="G47" i="29"/>
  <c r="G46" i="29"/>
  <c r="G45" i="29"/>
  <c r="G32" i="29"/>
  <c r="G31" i="29"/>
  <c r="G30" i="29"/>
  <c r="G29" i="29"/>
  <c r="G25" i="29"/>
  <c r="G24" i="29"/>
  <c r="G23" i="29"/>
  <c r="G22" i="29"/>
  <c r="G21" i="29" s="1"/>
  <c r="G19" i="29"/>
  <c r="G18" i="29"/>
  <c r="H11" i="8"/>
  <c r="G11" i="8"/>
  <c r="F11" i="8"/>
  <c r="J67" i="28"/>
  <c r="J66" i="28"/>
  <c r="J63" i="28"/>
  <c r="J62" i="28"/>
  <c r="J61" i="28"/>
  <c r="J48" i="28"/>
  <c r="J47" i="28"/>
  <c r="J46" i="28"/>
  <c r="K46" i="28" s="1"/>
  <c r="J45" i="28"/>
  <c r="K45" i="28" s="1"/>
  <c r="J32" i="28"/>
  <c r="J31" i="28"/>
  <c r="J30" i="28"/>
  <c r="J29" i="28"/>
  <c r="J28" i="28" s="1"/>
  <c r="J27" i="28" s="1"/>
  <c r="J25" i="28"/>
  <c r="J24" i="28"/>
  <c r="J23" i="28"/>
  <c r="K23" i="28" s="1"/>
  <c r="J22" i="28"/>
  <c r="K22" i="28" s="1"/>
  <c r="J19" i="28"/>
  <c r="J18" i="28"/>
  <c r="I70" i="28"/>
  <c r="I67" i="28"/>
  <c r="I66" i="28"/>
  <c r="I63" i="28"/>
  <c r="I62" i="28"/>
  <c r="I61" i="28"/>
  <c r="I60" i="28" s="1"/>
  <c r="I48" i="28"/>
  <c r="I47" i="28"/>
  <c r="I46" i="28"/>
  <c r="I45" i="28"/>
  <c r="I32" i="28"/>
  <c r="I31" i="28"/>
  <c r="I30" i="28"/>
  <c r="I29" i="28"/>
  <c r="I25" i="28"/>
  <c r="I24" i="28"/>
  <c r="I23" i="28"/>
  <c r="I22" i="28"/>
  <c r="I19" i="28"/>
  <c r="I18" i="28"/>
  <c r="H70" i="28"/>
  <c r="H67" i="28"/>
  <c r="H66" i="28"/>
  <c r="H63" i="28"/>
  <c r="H62" i="28"/>
  <c r="H61" i="28"/>
  <c r="H60" i="28" s="1"/>
  <c r="H48" i="28"/>
  <c r="H47" i="28"/>
  <c r="H46" i="28"/>
  <c r="H45" i="28"/>
  <c r="H32" i="28"/>
  <c r="H31" i="28"/>
  <c r="H30" i="28"/>
  <c r="H29" i="28"/>
  <c r="H28" i="28" s="1"/>
  <c r="H27" i="28" s="1"/>
  <c r="H25" i="28"/>
  <c r="H24" i="28"/>
  <c r="H23" i="28"/>
  <c r="H22" i="28"/>
  <c r="H21" i="28" s="1"/>
  <c r="H19" i="28"/>
  <c r="H18" i="28"/>
  <c r="G67" i="28"/>
  <c r="G66" i="28"/>
  <c r="G63" i="28"/>
  <c r="G62" i="28"/>
  <c r="G61" i="28"/>
  <c r="G48" i="28"/>
  <c r="G47" i="28"/>
  <c r="G46" i="28"/>
  <c r="G45" i="28"/>
  <c r="G32" i="28"/>
  <c r="G31" i="28"/>
  <c r="G30" i="28"/>
  <c r="G29" i="28"/>
  <c r="G25" i="28"/>
  <c r="G24" i="28"/>
  <c r="G23" i="28"/>
  <c r="G22" i="28"/>
  <c r="G19" i="28"/>
  <c r="G18" i="28"/>
  <c r="J67" i="5"/>
  <c r="J66" i="5"/>
  <c r="J63" i="5"/>
  <c r="J62" i="5"/>
  <c r="J61" i="5"/>
  <c r="J48" i="5"/>
  <c r="J47" i="5"/>
  <c r="J46" i="5"/>
  <c r="J45" i="5"/>
  <c r="J32" i="5"/>
  <c r="J31" i="5"/>
  <c r="J30" i="5"/>
  <c r="J29" i="5"/>
  <c r="J25" i="5"/>
  <c r="J24" i="5"/>
  <c r="J23" i="5"/>
  <c r="J22" i="5"/>
  <c r="J19" i="5"/>
  <c r="J18" i="5"/>
  <c r="I70" i="5"/>
  <c r="I67" i="5"/>
  <c r="I66" i="5"/>
  <c r="I63" i="5"/>
  <c r="I62" i="5"/>
  <c r="I61" i="5"/>
  <c r="I48" i="5"/>
  <c r="I47" i="5"/>
  <c r="I46" i="5"/>
  <c r="I45" i="5"/>
  <c r="I32" i="5"/>
  <c r="I31" i="5"/>
  <c r="I30" i="5"/>
  <c r="I29" i="5"/>
  <c r="I25" i="5"/>
  <c r="I24" i="5"/>
  <c r="I23" i="5"/>
  <c r="I22" i="5"/>
  <c r="I19" i="5"/>
  <c r="I18" i="5"/>
  <c r="H70" i="5"/>
  <c r="H67" i="5"/>
  <c r="H66" i="5"/>
  <c r="H63" i="5"/>
  <c r="H62" i="5"/>
  <c r="H61" i="5"/>
  <c r="H48" i="5"/>
  <c r="H47" i="5"/>
  <c r="H46" i="5"/>
  <c r="H45" i="5"/>
  <c r="H32" i="5"/>
  <c r="H31" i="5"/>
  <c r="H30" i="5"/>
  <c r="H29" i="5"/>
  <c r="H25" i="5"/>
  <c r="H24" i="5"/>
  <c r="H23" i="5"/>
  <c r="H22" i="5"/>
  <c r="H19" i="5"/>
  <c r="H18" i="5"/>
  <c r="G67" i="5"/>
  <c r="G66" i="5"/>
  <c r="G63" i="5"/>
  <c r="G62" i="5"/>
  <c r="G61" i="5"/>
  <c r="G48" i="5"/>
  <c r="G47" i="5"/>
  <c r="G46" i="5"/>
  <c r="G45" i="5"/>
  <c r="G32" i="5"/>
  <c r="G31" i="5"/>
  <c r="G30" i="5"/>
  <c r="G29" i="5"/>
  <c r="G28" i="5"/>
  <c r="G25" i="5"/>
  <c r="G24" i="5"/>
  <c r="G23" i="5"/>
  <c r="G22" i="5"/>
  <c r="G19" i="5"/>
  <c r="G18" i="5"/>
  <c r="E70" i="31"/>
  <c r="D70" i="31"/>
  <c r="C70" i="31"/>
  <c r="H69" i="31"/>
  <c r="E69" i="31"/>
  <c r="K67" i="31"/>
  <c r="E67" i="31"/>
  <c r="D67" i="31"/>
  <c r="C67" i="31"/>
  <c r="G65" i="31"/>
  <c r="E66" i="31"/>
  <c r="E65" i="31" s="1"/>
  <c r="D66" i="31"/>
  <c r="C66" i="31"/>
  <c r="J65" i="31"/>
  <c r="H65" i="31"/>
  <c r="K63" i="31"/>
  <c r="E63" i="31"/>
  <c r="D63" i="31"/>
  <c r="C63" i="31"/>
  <c r="K62" i="31"/>
  <c r="E62" i="31"/>
  <c r="D62" i="31"/>
  <c r="C62" i="31"/>
  <c r="E61" i="31"/>
  <c r="D61" i="31"/>
  <c r="C61" i="31"/>
  <c r="H60" i="31"/>
  <c r="E60" i="31"/>
  <c r="K48" i="31"/>
  <c r="E48" i="31"/>
  <c r="D48" i="31"/>
  <c r="C48" i="31"/>
  <c r="K47" i="31"/>
  <c r="E47" i="31"/>
  <c r="D47" i="31"/>
  <c r="C47" i="31"/>
  <c r="E46" i="31"/>
  <c r="D46" i="31"/>
  <c r="C46" i="31"/>
  <c r="J44" i="31"/>
  <c r="J43" i="31" s="1"/>
  <c r="E45" i="31"/>
  <c r="E44" i="31" s="1"/>
  <c r="E43" i="31" s="1"/>
  <c r="D45" i="31"/>
  <c r="C45" i="31"/>
  <c r="C44" i="31"/>
  <c r="E34" i="31"/>
  <c r="B34" i="31"/>
  <c r="K32" i="31"/>
  <c r="E32" i="31"/>
  <c r="D32" i="31"/>
  <c r="C32" i="31"/>
  <c r="K31" i="31"/>
  <c r="E31" i="31"/>
  <c r="D31" i="31"/>
  <c r="C31" i="31"/>
  <c r="E30" i="31"/>
  <c r="D30" i="31"/>
  <c r="C30" i="31"/>
  <c r="J28" i="31"/>
  <c r="J27" i="31" s="1"/>
  <c r="H28" i="31"/>
  <c r="H27" i="31" s="1"/>
  <c r="E29" i="31"/>
  <c r="D29" i="31"/>
  <c r="C29" i="31"/>
  <c r="E28" i="31"/>
  <c r="C28" i="31"/>
  <c r="E27" i="31"/>
  <c r="K25" i="31"/>
  <c r="E25" i="31"/>
  <c r="D25" i="31"/>
  <c r="C25" i="31"/>
  <c r="K24" i="31"/>
  <c r="E24" i="31"/>
  <c r="D24" i="31"/>
  <c r="C24" i="31"/>
  <c r="B24" i="31"/>
  <c r="B25" i="31" s="1"/>
  <c r="K23" i="31"/>
  <c r="E23" i="31"/>
  <c r="D23" i="31"/>
  <c r="C23" i="31"/>
  <c r="B23" i="31"/>
  <c r="E22" i="31"/>
  <c r="E21" i="31" s="1"/>
  <c r="D22" i="31"/>
  <c r="C22" i="31"/>
  <c r="K19" i="31"/>
  <c r="E19" i="31"/>
  <c r="E17" i="31" s="1"/>
  <c r="D19" i="31"/>
  <c r="C19" i="31"/>
  <c r="B19" i="31"/>
  <c r="K18" i="31"/>
  <c r="E18" i="31"/>
  <c r="D18" i="31"/>
  <c r="C18" i="31"/>
  <c r="H17" i="31"/>
  <c r="E70" i="30"/>
  <c r="D70" i="30"/>
  <c r="C70" i="30"/>
  <c r="I69" i="30"/>
  <c r="H69" i="30"/>
  <c r="E69" i="30"/>
  <c r="E67" i="30"/>
  <c r="D67" i="30"/>
  <c r="C67" i="30"/>
  <c r="I65" i="30"/>
  <c r="E66" i="30"/>
  <c r="E65" i="30" s="1"/>
  <c r="D66" i="30"/>
  <c r="C66" i="30"/>
  <c r="J65" i="30"/>
  <c r="H65" i="30"/>
  <c r="K63" i="30"/>
  <c r="E63" i="30"/>
  <c r="D63" i="30"/>
  <c r="C63" i="30"/>
  <c r="K62" i="30"/>
  <c r="E62" i="30"/>
  <c r="E60" i="30" s="1"/>
  <c r="D62" i="30"/>
  <c r="C62" i="30"/>
  <c r="E61" i="30"/>
  <c r="D61" i="30"/>
  <c r="C61" i="30"/>
  <c r="J60" i="30"/>
  <c r="H60" i="30"/>
  <c r="K48" i="30"/>
  <c r="E48" i="30"/>
  <c r="D48" i="30"/>
  <c r="C48" i="30"/>
  <c r="K47" i="30"/>
  <c r="E47" i="30"/>
  <c r="D47" i="30"/>
  <c r="C47" i="30"/>
  <c r="E46" i="30"/>
  <c r="D46" i="30"/>
  <c r="C46" i="30"/>
  <c r="I44" i="30"/>
  <c r="I43" i="30" s="1"/>
  <c r="H44" i="30"/>
  <c r="H43" i="30" s="1"/>
  <c r="E45" i="30"/>
  <c r="E44" i="30" s="1"/>
  <c r="E43" i="30" s="1"/>
  <c r="D45" i="30"/>
  <c r="C45" i="30"/>
  <c r="C44" i="30"/>
  <c r="E34" i="30"/>
  <c r="B34" i="30"/>
  <c r="K32" i="30"/>
  <c r="E32" i="30"/>
  <c r="D32" i="30"/>
  <c r="C32" i="30"/>
  <c r="E31" i="30"/>
  <c r="D31" i="30"/>
  <c r="C31" i="30"/>
  <c r="E30" i="30"/>
  <c r="D30" i="30"/>
  <c r="C30" i="30"/>
  <c r="G28" i="30"/>
  <c r="G27" i="30" s="1"/>
  <c r="E29" i="30"/>
  <c r="D29" i="30"/>
  <c r="C29" i="30"/>
  <c r="E28" i="30"/>
  <c r="C28" i="30"/>
  <c r="E27" i="30"/>
  <c r="K25" i="30"/>
  <c r="E25" i="30"/>
  <c r="D25" i="30"/>
  <c r="C25" i="30"/>
  <c r="E24" i="30"/>
  <c r="D24" i="30"/>
  <c r="C24" i="30"/>
  <c r="B24" i="30"/>
  <c r="B25" i="30" s="1"/>
  <c r="E23" i="30"/>
  <c r="D23" i="30"/>
  <c r="C23" i="30"/>
  <c r="B23" i="30"/>
  <c r="E22" i="30"/>
  <c r="E21" i="30" s="1"/>
  <c r="D22" i="30"/>
  <c r="C22" i="30"/>
  <c r="J21" i="30"/>
  <c r="K19" i="30"/>
  <c r="E19" i="30"/>
  <c r="D19" i="30"/>
  <c r="C19" i="30"/>
  <c r="B19" i="30"/>
  <c r="J17" i="30"/>
  <c r="I17" i="30"/>
  <c r="K18" i="30"/>
  <c r="E18" i="30"/>
  <c r="D18" i="30"/>
  <c r="C18" i="30"/>
  <c r="H17" i="30"/>
  <c r="E17" i="30"/>
  <c r="E70" i="29"/>
  <c r="D70" i="29"/>
  <c r="C70" i="29"/>
  <c r="I69" i="29"/>
  <c r="H69" i="29"/>
  <c r="E69" i="29"/>
  <c r="J65" i="29"/>
  <c r="E67" i="29"/>
  <c r="D67" i="29"/>
  <c r="C67" i="29"/>
  <c r="I65" i="29"/>
  <c r="H65" i="29"/>
  <c r="G65" i="29"/>
  <c r="E66" i="29"/>
  <c r="E65" i="29" s="1"/>
  <c r="D66" i="29"/>
  <c r="C66" i="29"/>
  <c r="K63" i="29"/>
  <c r="E63" i="29"/>
  <c r="D63" i="29"/>
  <c r="C63" i="29"/>
  <c r="K62" i="29"/>
  <c r="E62" i="29"/>
  <c r="D62" i="29"/>
  <c r="C62" i="29"/>
  <c r="G60" i="29"/>
  <c r="E61" i="29"/>
  <c r="E60" i="29" s="1"/>
  <c r="D61" i="29"/>
  <c r="C61" i="29"/>
  <c r="J60" i="29"/>
  <c r="I60" i="29"/>
  <c r="K48" i="29"/>
  <c r="E48" i="29"/>
  <c r="D48" i="29"/>
  <c r="C48" i="29"/>
  <c r="K47" i="29"/>
  <c r="E47" i="29"/>
  <c r="D47" i="29"/>
  <c r="C47" i="29"/>
  <c r="E46" i="29"/>
  <c r="D46" i="29"/>
  <c r="C46" i="29"/>
  <c r="J44" i="29"/>
  <c r="J43" i="29" s="1"/>
  <c r="G44" i="29"/>
  <c r="G43" i="29" s="1"/>
  <c r="E45" i="29"/>
  <c r="E44" i="29" s="1"/>
  <c r="E43" i="29" s="1"/>
  <c r="D45" i="29"/>
  <c r="C45" i="29"/>
  <c r="C44" i="29"/>
  <c r="E34" i="29"/>
  <c r="B34" i="29"/>
  <c r="K32" i="29"/>
  <c r="E32" i="29"/>
  <c r="D32" i="29"/>
  <c r="C32" i="29"/>
  <c r="E31" i="29"/>
  <c r="D31" i="29"/>
  <c r="C31" i="29"/>
  <c r="E30" i="29"/>
  <c r="D30" i="29"/>
  <c r="C30" i="29"/>
  <c r="J28" i="29"/>
  <c r="J27" i="29" s="1"/>
  <c r="G28" i="29"/>
  <c r="G27" i="29" s="1"/>
  <c r="E29" i="29"/>
  <c r="D29" i="29"/>
  <c r="C29" i="29"/>
  <c r="E28" i="29"/>
  <c r="C28" i="29"/>
  <c r="E27" i="29"/>
  <c r="K25" i="29"/>
  <c r="E25" i="29"/>
  <c r="D25" i="29"/>
  <c r="C25" i="29"/>
  <c r="K24" i="29"/>
  <c r="E24" i="29"/>
  <c r="D24" i="29"/>
  <c r="C24" i="29"/>
  <c r="B24" i="29"/>
  <c r="B25" i="29" s="1"/>
  <c r="E23" i="29"/>
  <c r="D23" i="29"/>
  <c r="C23" i="29"/>
  <c r="B23" i="29"/>
  <c r="I21" i="29"/>
  <c r="E22" i="29"/>
  <c r="E21" i="29" s="1"/>
  <c r="D22" i="29"/>
  <c r="C22" i="29"/>
  <c r="K19" i="29"/>
  <c r="K17" i="29" s="1"/>
  <c r="H17" i="29"/>
  <c r="E19" i="29"/>
  <c r="E17" i="29" s="1"/>
  <c r="D19" i="29"/>
  <c r="C19" i="29"/>
  <c r="B19" i="29"/>
  <c r="K18" i="29"/>
  <c r="E18" i="29"/>
  <c r="D18" i="29"/>
  <c r="C18" i="29"/>
  <c r="I17" i="29"/>
  <c r="G17" i="29"/>
  <c r="K70" i="28"/>
  <c r="K69" i="28" s="1"/>
  <c r="E70" i="28"/>
  <c r="E69" i="28" s="1"/>
  <c r="D70" i="28"/>
  <c r="C70" i="28"/>
  <c r="I69" i="28"/>
  <c r="H69" i="28"/>
  <c r="K67" i="28"/>
  <c r="E67" i="28"/>
  <c r="D67" i="28"/>
  <c r="C67" i="28"/>
  <c r="J65" i="28"/>
  <c r="I65" i="28"/>
  <c r="H65" i="28"/>
  <c r="G65" i="28"/>
  <c r="E66" i="28"/>
  <c r="E65" i="28" s="1"/>
  <c r="D66" i="28"/>
  <c r="C66" i="28"/>
  <c r="K63" i="28"/>
  <c r="E63" i="28"/>
  <c r="D63" i="28"/>
  <c r="C63" i="28"/>
  <c r="K62" i="28"/>
  <c r="E62" i="28"/>
  <c r="D62" i="28"/>
  <c r="C62" i="28"/>
  <c r="J60" i="28"/>
  <c r="G60" i="28"/>
  <c r="E61" i="28"/>
  <c r="E60" i="28" s="1"/>
  <c r="D61" i="28"/>
  <c r="C61" i="28"/>
  <c r="K48" i="28"/>
  <c r="E48" i="28"/>
  <c r="D48" i="28"/>
  <c r="C48" i="28"/>
  <c r="K47" i="28"/>
  <c r="E47" i="28"/>
  <c r="D47" i="28"/>
  <c r="C47" i="28"/>
  <c r="H44" i="28"/>
  <c r="H43" i="28" s="1"/>
  <c r="E46" i="28"/>
  <c r="E44" i="28" s="1"/>
  <c r="E43" i="28" s="1"/>
  <c r="D46" i="28"/>
  <c r="C46" i="28"/>
  <c r="I44" i="28"/>
  <c r="I43" i="28" s="1"/>
  <c r="E45" i="28"/>
  <c r="D45" i="28"/>
  <c r="C45" i="28"/>
  <c r="C44" i="28"/>
  <c r="E34" i="28"/>
  <c r="B34" i="28"/>
  <c r="K32" i="28"/>
  <c r="E32" i="28"/>
  <c r="D32" i="28"/>
  <c r="C32" i="28"/>
  <c r="E31" i="28"/>
  <c r="D31" i="28"/>
  <c r="C31" i="28"/>
  <c r="E30" i="28"/>
  <c r="D30" i="28"/>
  <c r="C30" i="28"/>
  <c r="I28" i="28"/>
  <c r="I27" i="28" s="1"/>
  <c r="E29" i="28"/>
  <c r="D29" i="28"/>
  <c r="C29" i="28"/>
  <c r="E28" i="28"/>
  <c r="E27" i="28" s="1"/>
  <c r="C28" i="28"/>
  <c r="K25" i="28"/>
  <c r="E25" i="28"/>
  <c r="D25" i="28"/>
  <c r="C25" i="28"/>
  <c r="K24" i="28"/>
  <c r="E24" i="28"/>
  <c r="D24" i="28"/>
  <c r="C24" i="28"/>
  <c r="E23" i="28"/>
  <c r="D23" i="28"/>
  <c r="C23" i="28"/>
  <c r="B23" i="28"/>
  <c r="B24" i="28" s="1"/>
  <c r="B25" i="28" s="1"/>
  <c r="I21" i="28"/>
  <c r="G21" i="28"/>
  <c r="E22" i="28"/>
  <c r="E21" i="28" s="1"/>
  <c r="D22" i="28"/>
  <c r="C22" i="28"/>
  <c r="H17" i="28"/>
  <c r="K19" i="28"/>
  <c r="E19" i="28"/>
  <c r="E17" i="28" s="1"/>
  <c r="D19" i="28"/>
  <c r="C19" i="28"/>
  <c r="B19" i="28"/>
  <c r="K18" i="28"/>
  <c r="E18" i="28"/>
  <c r="D18" i="28"/>
  <c r="C18" i="28"/>
  <c r="J17" i="28"/>
  <c r="I17" i="28"/>
  <c r="G17" i="28"/>
  <c r="M70" i="27"/>
  <c r="D70" i="27"/>
  <c r="D69" i="27" s="1"/>
  <c r="C70" i="27"/>
  <c r="M69" i="27"/>
  <c r="D67" i="27"/>
  <c r="M67" i="27" s="1"/>
  <c r="C67" i="27"/>
  <c r="D66" i="27"/>
  <c r="M66" i="27" s="1"/>
  <c r="M65" i="27" s="1"/>
  <c r="C66" i="27"/>
  <c r="D63" i="27"/>
  <c r="M63" i="27" s="1"/>
  <c r="C63" i="27"/>
  <c r="D62" i="27"/>
  <c r="M62" i="27" s="1"/>
  <c r="C62" i="27"/>
  <c r="D61" i="27"/>
  <c r="M61" i="27" s="1"/>
  <c r="C61" i="27"/>
  <c r="D48" i="27"/>
  <c r="M48" i="27" s="1"/>
  <c r="C48" i="27"/>
  <c r="D47" i="27"/>
  <c r="M47" i="27" s="1"/>
  <c r="C47" i="27"/>
  <c r="D46" i="27"/>
  <c r="M46" i="27" s="1"/>
  <c r="C46" i="27"/>
  <c r="D45" i="27"/>
  <c r="M45" i="27" s="1"/>
  <c r="C45" i="27"/>
  <c r="D44" i="27"/>
  <c r="D43" i="27" s="1"/>
  <c r="C44" i="27"/>
  <c r="D34" i="27"/>
  <c r="B34" i="27"/>
  <c r="D32" i="27"/>
  <c r="M32" i="27" s="1"/>
  <c r="C32" i="27"/>
  <c r="D31" i="27"/>
  <c r="M31" i="27" s="1"/>
  <c r="C31" i="27"/>
  <c r="D30" i="27"/>
  <c r="M30" i="27" s="1"/>
  <c r="C30" i="27"/>
  <c r="M29" i="27"/>
  <c r="D29" i="27"/>
  <c r="C29" i="27"/>
  <c r="D28" i="27"/>
  <c r="C28" i="27"/>
  <c r="D27" i="27"/>
  <c r="M25" i="27"/>
  <c r="D25" i="27"/>
  <c r="C25" i="27"/>
  <c r="M24" i="27"/>
  <c r="D24" i="27"/>
  <c r="C24" i="27"/>
  <c r="M23" i="27"/>
  <c r="D23" i="27"/>
  <c r="C23" i="27"/>
  <c r="B23" i="27"/>
  <c r="B24" i="27" s="1"/>
  <c r="B25" i="27" s="1"/>
  <c r="D22" i="27"/>
  <c r="M22" i="27" s="1"/>
  <c r="M21" i="27" s="1"/>
  <c r="C22" i="27"/>
  <c r="D21" i="27"/>
  <c r="M19" i="27"/>
  <c r="D19" i="27"/>
  <c r="C19" i="27"/>
  <c r="B19" i="27"/>
  <c r="D18" i="27"/>
  <c r="M18" i="27" s="1"/>
  <c r="M17" i="27" s="1"/>
  <c r="C18" i="27"/>
  <c r="M70" i="26"/>
  <c r="D70" i="26"/>
  <c r="C70" i="26"/>
  <c r="M69" i="26"/>
  <c r="D69" i="26"/>
  <c r="D67" i="26"/>
  <c r="D65" i="26" s="1"/>
  <c r="C67" i="26"/>
  <c r="D66" i="26"/>
  <c r="M66" i="26" s="1"/>
  <c r="C66" i="26"/>
  <c r="D63" i="26"/>
  <c r="M63" i="26" s="1"/>
  <c r="C63" i="26"/>
  <c r="D62" i="26"/>
  <c r="M62" i="26" s="1"/>
  <c r="C62" i="26"/>
  <c r="D61" i="26"/>
  <c r="M61" i="26" s="1"/>
  <c r="M60" i="26" s="1"/>
  <c r="C61" i="26"/>
  <c r="D60" i="26"/>
  <c r="D48" i="26"/>
  <c r="M48" i="26" s="1"/>
  <c r="C48" i="26"/>
  <c r="D47" i="26"/>
  <c r="M47" i="26" s="1"/>
  <c r="C47" i="26"/>
  <c r="D46" i="26"/>
  <c r="M46" i="26" s="1"/>
  <c r="C46" i="26"/>
  <c r="D45" i="26"/>
  <c r="M45" i="26" s="1"/>
  <c r="M44" i="26" s="1"/>
  <c r="M43" i="26" s="1"/>
  <c r="C45" i="26"/>
  <c r="D44" i="26"/>
  <c r="D43" i="26" s="1"/>
  <c r="C44" i="26"/>
  <c r="D34" i="26"/>
  <c r="B34" i="26"/>
  <c r="D32" i="26"/>
  <c r="M32" i="26" s="1"/>
  <c r="C32" i="26"/>
  <c r="D31" i="26"/>
  <c r="M31" i="26" s="1"/>
  <c r="C31" i="26"/>
  <c r="D30" i="26"/>
  <c r="M30" i="26" s="1"/>
  <c r="C30" i="26"/>
  <c r="M29" i="26"/>
  <c r="D29" i="26"/>
  <c r="C29" i="26"/>
  <c r="D28" i="26"/>
  <c r="C28" i="26"/>
  <c r="D27" i="26"/>
  <c r="M25" i="26"/>
  <c r="D25" i="26"/>
  <c r="C25" i="26"/>
  <c r="D24" i="26"/>
  <c r="M24" i="26" s="1"/>
  <c r="C24" i="26"/>
  <c r="M23" i="26"/>
  <c r="D23" i="26"/>
  <c r="C23" i="26"/>
  <c r="B23" i="26"/>
  <c r="B24" i="26" s="1"/>
  <c r="B25" i="26" s="1"/>
  <c r="D22" i="26"/>
  <c r="M22" i="26" s="1"/>
  <c r="M21" i="26" s="1"/>
  <c r="C22" i="26"/>
  <c r="D21" i="26"/>
  <c r="M19" i="26"/>
  <c r="D19" i="26"/>
  <c r="C19" i="26"/>
  <c r="B19" i="26"/>
  <c r="D18" i="26"/>
  <c r="M18" i="26" s="1"/>
  <c r="M17" i="26" s="1"/>
  <c r="C18" i="26"/>
  <c r="M70" i="25"/>
  <c r="D70" i="25"/>
  <c r="C70" i="25"/>
  <c r="M69" i="25"/>
  <c r="D69" i="25"/>
  <c r="D67" i="25"/>
  <c r="M67" i="25" s="1"/>
  <c r="C67" i="25"/>
  <c r="D66" i="25"/>
  <c r="M66" i="25" s="1"/>
  <c r="C66" i="25"/>
  <c r="D65" i="25"/>
  <c r="D63" i="25"/>
  <c r="M63" i="25" s="1"/>
  <c r="C63" i="25"/>
  <c r="D62" i="25"/>
  <c r="M62" i="25" s="1"/>
  <c r="C62" i="25"/>
  <c r="D61" i="25"/>
  <c r="M61" i="25" s="1"/>
  <c r="C61" i="25"/>
  <c r="D48" i="25"/>
  <c r="M48" i="25" s="1"/>
  <c r="C48" i="25"/>
  <c r="D47" i="25"/>
  <c r="M47" i="25" s="1"/>
  <c r="C47" i="25"/>
  <c r="D46" i="25"/>
  <c r="M46" i="25" s="1"/>
  <c r="C46" i="25"/>
  <c r="D45" i="25"/>
  <c r="M45" i="25" s="1"/>
  <c r="M44" i="25" s="1"/>
  <c r="M43" i="25" s="1"/>
  <c r="C45" i="25"/>
  <c r="D44" i="25"/>
  <c r="D43" i="25" s="1"/>
  <c r="C44" i="25"/>
  <c r="D34" i="25"/>
  <c r="B34" i="25"/>
  <c r="D32" i="25"/>
  <c r="M32" i="25" s="1"/>
  <c r="C32" i="25"/>
  <c r="D31" i="25"/>
  <c r="M31" i="25" s="1"/>
  <c r="C31" i="25"/>
  <c r="D30" i="25"/>
  <c r="M30" i="25" s="1"/>
  <c r="C30" i="25"/>
  <c r="M29" i="25"/>
  <c r="D29" i="25"/>
  <c r="C29" i="25"/>
  <c r="D28" i="25"/>
  <c r="C28" i="25"/>
  <c r="D27" i="25"/>
  <c r="M25" i="25"/>
  <c r="D25" i="25"/>
  <c r="C25" i="25"/>
  <c r="B25" i="25"/>
  <c r="D24" i="25"/>
  <c r="M24" i="25" s="1"/>
  <c r="C24" i="25"/>
  <c r="B24" i="25"/>
  <c r="M23" i="25"/>
  <c r="D23" i="25"/>
  <c r="C23" i="25"/>
  <c r="B23" i="25"/>
  <c r="D22" i="25"/>
  <c r="M22" i="25" s="1"/>
  <c r="C22" i="25"/>
  <c r="D21" i="25"/>
  <c r="D19" i="25"/>
  <c r="M19" i="25" s="1"/>
  <c r="C19" i="25"/>
  <c r="B19" i="25"/>
  <c r="D18" i="25"/>
  <c r="M18" i="25" s="1"/>
  <c r="C18" i="25"/>
  <c r="M70" i="24"/>
  <c r="D70" i="24"/>
  <c r="C70" i="24"/>
  <c r="M69" i="24"/>
  <c r="D69" i="24"/>
  <c r="D67" i="24"/>
  <c r="M67" i="24" s="1"/>
  <c r="C67" i="24"/>
  <c r="D66" i="24"/>
  <c r="M66" i="24" s="1"/>
  <c r="M65" i="24" s="1"/>
  <c r="C66" i="24"/>
  <c r="D65" i="24"/>
  <c r="D63" i="24"/>
  <c r="M63" i="24" s="1"/>
  <c r="C63" i="24"/>
  <c r="D62" i="24"/>
  <c r="M62" i="24" s="1"/>
  <c r="C62" i="24"/>
  <c r="D61" i="24"/>
  <c r="M61" i="24" s="1"/>
  <c r="C61" i="24"/>
  <c r="D48" i="24"/>
  <c r="M48" i="24" s="1"/>
  <c r="C48" i="24"/>
  <c r="D47" i="24"/>
  <c r="M47" i="24" s="1"/>
  <c r="C47" i="24"/>
  <c r="D46" i="24"/>
  <c r="M46" i="24" s="1"/>
  <c r="C46" i="24"/>
  <c r="D45" i="24"/>
  <c r="M45" i="24" s="1"/>
  <c r="C45" i="24"/>
  <c r="D44" i="24"/>
  <c r="D43" i="24" s="1"/>
  <c r="C44" i="24"/>
  <c r="D34" i="24"/>
  <c r="B34" i="24"/>
  <c r="D32" i="24"/>
  <c r="M32" i="24" s="1"/>
  <c r="C32" i="24"/>
  <c r="D31" i="24"/>
  <c r="M31" i="24" s="1"/>
  <c r="C31" i="24"/>
  <c r="D30" i="24"/>
  <c r="M30" i="24" s="1"/>
  <c r="C30" i="24"/>
  <c r="M29" i="24"/>
  <c r="D29" i="24"/>
  <c r="C29" i="24"/>
  <c r="D28" i="24"/>
  <c r="C28" i="24"/>
  <c r="D27" i="24"/>
  <c r="M25" i="24"/>
  <c r="D25" i="24"/>
  <c r="C25" i="24"/>
  <c r="M24" i="24"/>
  <c r="D24" i="24"/>
  <c r="C24" i="24"/>
  <c r="M23" i="24"/>
  <c r="D23" i="24"/>
  <c r="C23" i="24"/>
  <c r="B23" i="24"/>
  <c r="B24" i="24" s="1"/>
  <c r="B25" i="24" s="1"/>
  <c r="D22" i="24"/>
  <c r="M22" i="24" s="1"/>
  <c r="M21" i="24" s="1"/>
  <c r="C22" i="24"/>
  <c r="D21" i="24"/>
  <c r="D19" i="24"/>
  <c r="M19" i="24" s="1"/>
  <c r="M17" i="24" s="1"/>
  <c r="C19" i="24"/>
  <c r="B19" i="24"/>
  <c r="M18" i="24"/>
  <c r="D18" i="24"/>
  <c r="D17" i="24" s="1"/>
  <c r="C18" i="24"/>
  <c r="M70" i="23"/>
  <c r="D70" i="23"/>
  <c r="C70" i="23"/>
  <c r="M69" i="23"/>
  <c r="D69" i="23"/>
  <c r="D67" i="23"/>
  <c r="M67" i="23" s="1"/>
  <c r="C67" i="23"/>
  <c r="D66" i="23"/>
  <c r="M66" i="23" s="1"/>
  <c r="C66" i="23"/>
  <c r="D65" i="23"/>
  <c r="D63" i="23"/>
  <c r="M63" i="23" s="1"/>
  <c r="C63" i="23"/>
  <c r="D62" i="23"/>
  <c r="M62" i="23" s="1"/>
  <c r="C62" i="23"/>
  <c r="D61" i="23"/>
  <c r="M61" i="23" s="1"/>
  <c r="M60" i="23" s="1"/>
  <c r="C61" i="23"/>
  <c r="D48" i="23"/>
  <c r="M48" i="23" s="1"/>
  <c r="C48" i="23"/>
  <c r="D47" i="23"/>
  <c r="M47" i="23" s="1"/>
  <c r="C47" i="23"/>
  <c r="D46" i="23"/>
  <c r="M46" i="23" s="1"/>
  <c r="C46" i="23"/>
  <c r="D45" i="23"/>
  <c r="M45" i="23" s="1"/>
  <c r="M44" i="23" s="1"/>
  <c r="M43" i="23" s="1"/>
  <c r="C45" i="23"/>
  <c r="D44" i="23"/>
  <c r="D43" i="23" s="1"/>
  <c r="C44" i="23"/>
  <c r="D34" i="23"/>
  <c r="B34" i="23"/>
  <c r="D32" i="23"/>
  <c r="M32" i="23" s="1"/>
  <c r="C32" i="23"/>
  <c r="D31" i="23"/>
  <c r="M31" i="23" s="1"/>
  <c r="C31" i="23"/>
  <c r="D30" i="23"/>
  <c r="M30" i="23" s="1"/>
  <c r="C30" i="23"/>
  <c r="M29" i="23"/>
  <c r="D29" i="23"/>
  <c r="C29" i="23"/>
  <c r="D28" i="23"/>
  <c r="C28" i="23"/>
  <c r="D27" i="23"/>
  <c r="M25" i="23"/>
  <c r="D25" i="23"/>
  <c r="C25" i="23"/>
  <c r="D24" i="23"/>
  <c r="M24" i="23" s="1"/>
  <c r="C24" i="23"/>
  <c r="B24" i="23"/>
  <c r="B25" i="23" s="1"/>
  <c r="M23" i="23"/>
  <c r="D23" i="23"/>
  <c r="C23" i="23"/>
  <c r="B23" i="23"/>
  <c r="D22" i="23"/>
  <c r="M22" i="23" s="1"/>
  <c r="M21" i="23" s="1"/>
  <c r="C22" i="23"/>
  <c r="D21" i="23"/>
  <c r="D19" i="23"/>
  <c r="M19" i="23" s="1"/>
  <c r="M17" i="23" s="1"/>
  <c r="C19" i="23"/>
  <c r="B19" i="23"/>
  <c r="M18" i="23"/>
  <c r="D18" i="23"/>
  <c r="D17" i="23" s="1"/>
  <c r="C18" i="23"/>
  <c r="K17" i="31" l="1"/>
  <c r="K46" i="31"/>
  <c r="H16" i="31"/>
  <c r="K61" i="31"/>
  <c r="K60" i="31" s="1"/>
  <c r="G44" i="31"/>
  <c r="G43" i="31" s="1"/>
  <c r="K30" i="31"/>
  <c r="K46" i="30"/>
  <c r="K24" i="30"/>
  <c r="J16" i="30"/>
  <c r="I16" i="30"/>
  <c r="K61" i="30"/>
  <c r="K23" i="30"/>
  <c r="K17" i="30"/>
  <c r="G60" i="30"/>
  <c r="K30" i="30"/>
  <c r="K31" i="30"/>
  <c r="K30" i="29"/>
  <c r="I28" i="29"/>
  <c r="I27" i="29" s="1"/>
  <c r="I16" i="29"/>
  <c r="K23" i="29"/>
  <c r="J44" i="28"/>
  <c r="J43" i="28" s="1"/>
  <c r="K31" i="28"/>
  <c r="I16" i="28"/>
  <c r="K44" i="28"/>
  <c r="K43" i="28" s="1"/>
  <c r="K30" i="28"/>
  <c r="K17" i="28"/>
  <c r="E16" i="31"/>
  <c r="G17" i="31"/>
  <c r="K45" i="31"/>
  <c r="K44" i="31" s="1"/>
  <c r="K43" i="31" s="1"/>
  <c r="J17" i="31"/>
  <c r="J16" i="31" s="1"/>
  <c r="K22" i="31"/>
  <c r="K21" i="31" s="1"/>
  <c r="K29" i="31"/>
  <c r="K66" i="31"/>
  <c r="K65" i="31" s="1"/>
  <c r="K60" i="30"/>
  <c r="E16" i="30"/>
  <c r="H16" i="30"/>
  <c r="G17" i="30"/>
  <c r="K22" i="30"/>
  <c r="K21" i="30" s="1"/>
  <c r="K29" i="30"/>
  <c r="K45" i="30"/>
  <c r="K66" i="30"/>
  <c r="K65" i="30" s="1"/>
  <c r="E16" i="29"/>
  <c r="H16" i="29"/>
  <c r="K67" i="29"/>
  <c r="K45" i="29"/>
  <c r="K44" i="29" s="1"/>
  <c r="K43" i="29" s="1"/>
  <c r="J17" i="29"/>
  <c r="J16" i="29" s="1"/>
  <c r="K22" i="29"/>
  <c r="K21" i="29" s="1"/>
  <c r="K29" i="29"/>
  <c r="K28" i="29" s="1"/>
  <c r="K27" i="29" s="1"/>
  <c r="K66" i="29"/>
  <c r="K61" i="29"/>
  <c r="K60" i="29" s="1"/>
  <c r="K21" i="28"/>
  <c r="E16" i="28"/>
  <c r="H16" i="28"/>
  <c r="K29" i="28"/>
  <c r="K61" i="28"/>
  <c r="K60" i="28" s="1"/>
  <c r="K66" i="28"/>
  <c r="K65" i="28" s="1"/>
  <c r="G44" i="28"/>
  <c r="G43" i="28" s="1"/>
  <c r="G28" i="28"/>
  <c r="G27" i="28" s="1"/>
  <c r="J21" i="28"/>
  <c r="M60" i="24"/>
  <c r="M17" i="25"/>
  <c r="M60" i="27"/>
  <c r="M28" i="23"/>
  <c r="M27" i="23" s="1"/>
  <c r="M16" i="23" s="1"/>
  <c r="C11" i="23" s="1"/>
  <c r="M28" i="26"/>
  <c r="M27" i="26" s="1"/>
  <c r="M21" i="25"/>
  <c r="M65" i="25"/>
  <c r="M44" i="24"/>
  <c r="M43" i="24" s="1"/>
  <c r="M44" i="27"/>
  <c r="M43" i="27" s="1"/>
  <c r="M28" i="25"/>
  <c r="M27" i="25" s="1"/>
  <c r="M16" i="24"/>
  <c r="C11" i="24" s="1"/>
  <c r="M60" i="25"/>
  <c r="M65" i="23"/>
  <c r="M28" i="24"/>
  <c r="M27" i="24" s="1"/>
  <c r="M28" i="27"/>
  <c r="M27" i="27" s="1"/>
  <c r="M16" i="27" s="1"/>
  <c r="C11" i="27" s="1"/>
  <c r="D60" i="24"/>
  <c r="D17" i="26"/>
  <c r="M67" i="26"/>
  <c r="M65" i="26" s="1"/>
  <c r="M16" i="26" s="1"/>
  <c r="C11" i="26" s="1"/>
  <c r="D65" i="27"/>
  <c r="D60" i="25"/>
  <c r="D60" i="27"/>
  <c r="D60" i="23"/>
  <c r="D17" i="25"/>
  <c r="D17" i="27"/>
  <c r="K28" i="31" l="1"/>
  <c r="K27" i="31" s="1"/>
  <c r="K44" i="30"/>
  <c r="K43" i="30" s="1"/>
  <c r="K28" i="30"/>
  <c r="K27" i="30" s="1"/>
  <c r="K65" i="29"/>
  <c r="J16" i="28"/>
  <c r="K28" i="28"/>
  <c r="K27" i="28" s="1"/>
  <c r="K16" i="28"/>
  <c r="G16" i="28"/>
  <c r="E11" i="8" s="1"/>
  <c r="M16" i="25"/>
  <c r="C11" i="25" s="1"/>
  <c r="D70" i="21"/>
  <c r="M70" i="21" s="1"/>
  <c r="M69" i="21" s="1"/>
  <c r="C70" i="21"/>
  <c r="D67" i="21"/>
  <c r="M67" i="21" s="1"/>
  <c r="C67" i="21"/>
  <c r="D66" i="21"/>
  <c r="M66" i="21" s="1"/>
  <c r="M65" i="21" s="1"/>
  <c r="C66" i="21"/>
  <c r="D65" i="21"/>
  <c r="D63" i="21"/>
  <c r="M63" i="21" s="1"/>
  <c r="C63" i="21"/>
  <c r="D62" i="21"/>
  <c r="M62" i="21" s="1"/>
  <c r="C62" i="21"/>
  <c r="D61" i="21"/>
  <c r="M61" i="21" s="1"/>
  <c r="M60" i="21" s="1"/>
  <c r="C61" i="21"/>
  <c r="D48" i="21"/>
  <c r="M48" i="21" s="1"/>
  <c r="C48" i="21"/>
  <c r="D47" i="21"/>
  <c r="M47" i="21" s="1"/>
  <c r="C47" i="21"/>
  <c r="D46" i="21"/>
  <c r="M46" i="21" s="1"/>
  <c r="C46" i="21"/>
  <c r="D45" i="21"/>
  <c r="M45" i="21" s="1"/>
  <c r="C45" i="21"/>
  <c r="D44" i="21"/>
  <c r="D43" i="21" s="1"/>
  <c r="C44" i="21"/>
  <c r="D34" i="21"/>
  <c r="B34" i="21"/>
  <c r="D32" i="21"/>
  <c r="M32" i="21" s="1"/>
  <c r="C32" i="21"/>
  <c r="D31" i="21"/>
  <c r="M31" i="21" s="1"/>
  <c r="C31" i="21"/>
  <c r="D30" i="21"/>
  <c r="M30" i="21" s="1"/>
  <c r="C30" i="21"/>
  <c r="D29" i="21"/>
  <c r="M29" i="21" s="1"/>
  <c r="M28" i="21" s="1"/>
  <c r="M27" i="21" s="1"/>
  <c r="C29" i="21"/>
  <c r="D28" i="21"/>
  <c r="C28" i="21"/>
  <c r="D27" i="21"/>
  <c r="M25" i="21"/>
  <c r="D25" i="21"/>
  <c r="C25" i="21"/>
  <c r="B25" i="21"/>
  <c r="D24" i="21"/>
  <c r="M24" i="21" s="1"/>
  <c r="C24" i="21"/>
  <c r="B24" i="21"/>
  <c r="D23" i="21"/>
  <c r="M23" i="21" s="1"/>
  <c r="C23" i="21"/>
  <c r="B23" i="21"/>
  <c r="D22" i="21"/>
  <c r="M22" i="21" s="1"/>
  <c r="M21" i="21" s="1"/>
  <c r="C22" i="21"/>
  <c r="D21" i="21"/>
  <c r="M19" i="21"/>
  <c r="D19" i="21"/>
  <c r="C19" i="21"/>
  <c r="B19" i="21"/>
  <c r="D18" i="21"/>
  <c r="M18" i="21" s="1"/>
  <c r="M17" i="21" s="1"/>
  <c r="C18" i="21"/>
  <c r="D70" i="20"/>
  <c r="M70" i="20" s="1"/>
  <c r="M69" i="20" s="1"/>
  <c r="C70" i="20"/>
  <c r="D69" i="20"/>
  <c r="D67" i="20"/>
  <c r="M67" i="20" s="1"/>
  <c r="C67" i="20"/>
  <c r="D66" i="20"/>
  <c r="M66" i="20" s="1"/>
  <c r="M65" i="20" s="1"/>
  <c r="C66" i="20"/>
  <c r="D63" i="20"/>
  <c r="M63" i="20" s="1"/>
  <c r="C63" i="20"/>
  <c r="D62" i="20"/>
  <c r="M62" i="20" s="1"/>
  <c r="C62" i="20"/>
  <c r="D61" i="20"/>
  <c r="M61" i="20" s="1"/>
  <c r="C61" i="20"/>
  <c r="D60" i="20"/>
  <c r="D48" i="20"/>
  <c r="M48" i="20" s="1"/>
  <c r="C48" i="20"/>
  <c r="M47" i="20"/>
  <c r="D47" i="20"/>
  <c r="C47" i="20"/>
  <c r="M46" i="20"/>
  <c r="D46" i="20"/>
  <c r="C46" i="20"/>
  <c r="M45" i="20"/>
  <c r="M44" i="20" s="1"/>
  <c r="M43" i="20" s="1"/>
  <c r="D45" i="20"/>
  <c r="C45" i="20"/>
  <c r="D44" i="20"/>
  <c r="C44" i="20"/>
  <c r="D43" i="20"/>
  <c r="D34" i="20"/>
  <c r="B34" i="20"/>
  <c r="M32" i="20"/>
  <c r="D32" i="20"/>
  <c r="C32" i="20"/>
  <c r="M31" i="20"/>
  <c r="D31" i="20"/>
  <c r="C31" i="20"/>
  <c r="M30" i="20"/>
  <c r="D30" i="20"/>
  <c r="C30" i="20"/>
  <c r="M29" i="20"/>
  <c r="D29" i="20"/>
  <c r="C29" i="20"/>
  <c r="M28" i="20"/>
  <c r="M27" i="20" s="1"/>
  <c r="D28" i="20"/>
  <c r="C28" i="20"/>
  <c r="D27" i="20"/>
  <c r="D25" i="20"/>
  <c r="M25" i="20" s="1"/>
  <c r="C25" i="20"/>
  <c r="M24" i="20"/>
  <c r="D24" i="20"/>
  <c r="C24" i="20"/>
  <c r="M23" i="20"/>
  <c r="D23" i="20"/>
  <c r="C23" i="20"/>
  <c r="B23" i="20"/>
  <c r="B24" i="20" s="1"/>
  <c r="B25" i="20" s="1"/>
  <c r="D22" i="20"/>
  <c r="M22" i="20" s="1"/>
  <c r="M21" i="20" s="1"/>
  <c r="C22" i="20"/>
  <c r="D19" i="20"/>
  <c r="M19" i="20" s="1"/>
  <c r="M17" i="20" s="1"/>
  <c r="C19" i="20"/>
  <c r="B19" i="20"/>
  <c r="M18" i="20"/>
  <c r="D18" i="20"/>
  <c r="D17" i="20" s="1"/>
  <c r="C18" i="20"/>
  <c r="D70" i="19"/>
  <c r="M70" i="19" s="1"/>
  <c r="M69" i="19" s="1"/>
  <c r="C70" i="19"/>
  <c r="D67" i="19"/>
  <c r="M67" i="19" s="1"/>
  <c r="C67" i="19"/>
  <c r="D66" i="19"/>
  <c r="M66" i="19" s="1"/>
  <c r="M65" i="19" s="1"/>
  <c r="C66" i="19"/>
  <c r="D65" i="19"/>
  <c r="D63" i="19"/>
  <c r="M63" i="19" s="1"/>
  <c r="C63" i="19"/>
  <c r="D62" i="19"/>
  <c r="M62" i="19" s="1"/>
  <c r="C62" i="19"/>
  <c r="M61" i="19"/>
  <c r="D61" i="19"/>
  <c r="C61" i="19"/>
  <c r="D48" i="19"/>
  <c r="M48" i="19" s="1"/>
  <c r="C48" i="19"/>
  <c r="D47" i="19"/>
  <c r="M47" i="19" s="1"/>
  <c r="C47" i="19"/>
  <c r="D46" i="19"/>
  <c r="M46" i="19" s="1"/>
  <c r="C46" i="19"/>
  <c r="D45" i="19"/>
  <c r="M45" i="19" s="1"/>
  <c r="M44" i="19" s="1"/>
  <c r="M43" i="19" s="1"/>
  <c r="C45" i="19"/>
  <c r="D44" i="19"/>
  <c r="D43" i="19" s="1"/>
  <c r="C44" i="19"/>
  <c r="D34" i="19"/>
  <c r="B34" i="19"/>
  <c r="D32" i="19"/>
  <c r="M32" i="19" s="1"/>
  <c r="C32" i="19"/>
  <c r="D31" i="19"/>
  <c r="M31" i="19" s="1"/>
  <c r="C31" i="19"/>
  <c r="D30" i="19"/>
  <c r="M30" i="19" s="1"/>
  <c r="C30" i="19"/>
  <c r="D29" i="19"/>
  <c r="M29" i="19" s="1"/>
  <c r="M28" i="19" s="1"/>
  <c r="M27" i="19" s="1"/>
  <c r="C29" i="19"/>
  <c r="D28" i="19"/>
  <c r="C28" i="19"/>
  <c r="D27" i="19"/>
  <c r="M25" i="19"/>
  <c r="D25" i="19"/>
  <c r="C25" i="19"/>
  <c r="B25" i="19"/>
  <c r="D24" i="19"/>
  <c r="M24" i="19" s="1"/>
  <c r="C24" i="19"/>
  <c r="B24" i="19"/>
  <c r="D23" i="19"/>
  <c r="M23" i="19" s="1"/>
  <c r="C23" i="19"/>
  <c r="B23" i="19"/>
  <c r="D22" i="19"/>
  <c r="M22" i="19" s="1"/>
  <c r="C22" i="19"/>
  <c r="D21" i="19"/>
  <c r="M19" i="19"/>
  <c r="D19" i="19"/>
  <c r="C19" i="19"/>
  <c r="B19" i="19"/>
  <c r="M18" i="19"/>
  <c r="M17" i="19" s="1"/>
  <c r="D18" i="19"/>
  <c r="D17" i="19" s="1"/>
  <c r="C18" i="19"/>
  <c r="D70" i="18"/>
  <c r="M70" i="18" s="1"/>
  <c r="M69" i="18" s="1"/>
  <c r="C70" i="18"/>
  <c r="D69" i="18"/>
  <c r="D67" i="18"/>
  <c r="M67" i="18" s="1"/>
  <c r="C67" i="18"/>
  <c r="D66" i="18"/>
  <c r="M66" i="18" s="1"/>
  <c r="M65" i="18" s="1"/>
  <c r="C66" i="18"/>
  <c r="D63" i="18"/>
  <c r="M63" i="18" s="1"/>
  <c r="C63" i="18"/>
  <c r="D62" i="18"/>
  <c r="M62" i="18" s="1"/>
  <c r="C62" i="18"/>
  <c r="D61" i="18"/>
  <c r="M61" i="18" s="1"/>
  <c r="M60" i="18" s="1"/>
  <c r="C61" i="18"/>
  <c r="D60" i="18"/>
  <c r="D48" i="18"/>
  <c r="M48" i="18" s="1"/>
  <c r="C48" i="18"/>
  <c r="M47" i="18"/>
  <c r="M44" i="18" s="1"/>
  <c r="M43" i="18" s="1"/>
  <c r="D47" i="18"/>
  <c r="C47" i="18"/>
  <c r="M46" i="18"/>
  <c r="D46" i="18"/>
  <c r="C46" i="18"/>
  <c r="M45" i="18"/>
  <c r="D45" i="18"/>
  <c r="C45" i="18"/>
  <c r="D44" i="18"/>
  <c r="C44" i="18"/>
  <c r="D43" i="18"/>
  <c r="D34" i="18"/>
  <c r="B34" i="18"/>
  <c r="M32" i="18"/>
  <c r="D32" i="18"/>
  <c r="C32" i="18"/>
  <c r="D31" i="18"/>
  <c r="M31" i="18" s="1"/>
  <c r="M28" i="18" s="1"/>
  <c r="M27" i="18" s="1"/>
  <c r="C31" i="18"/>
  <c r="M30" i="18"/>
  <c r="D30" i="18"/>
  <c r="C30" i="18"/>
  <c r="M29" i="18"/>
  <c r="D29" i="18"/>
  <c r="C29" i="18"/>
  <c r="D28" i="18"/>
  <c r="C28" i="18"/>
  <c r="D27" i="18"/>
  <c r="M25" i="18"/>
  <c r="D25" i="18"/>
  <c r="C25" i="18"/>
  <c r="D24" i="18"/>
  <c r="M24" i="18" s="1"/>
  <c r="C24" i="18"/>
  <c r="M23" i="18"/>
  <c r="D23" i="18"/>
  <c r="C23" i="18"/>
  <c r="B23" i="18"/>
  <c r="B24" i="18" s="1"/>
  <c r="B25" i="18" s="1"/>
  <c r="D22" i="18"/>
  <c r="M22" i="18" s="1"/>
  <c r="C22" i="18"/>
  <c r="M19" i="18"/>
  <c r="D19" i="18"/>
  <c r="C19" i="18"/>
  <c r="B19" i="18"/>
  <c r="M18" i="18"/>
  <c r="D18" i="18"/>
  <c r="D17" i="18" s="1"/>
  <c r="C18" i="18"/>
  <c r="M17" i="18"/>
  <c r="D70" i="17"/>
  <c r="M70" i="17" s="1"/>
  <c r="M69" i="17" s="1"/>
  <c r="C70" i="17"/>
  <c r="D67" i="17"/>
  <c r="M67" i="17" s="1"/>
  <c r="C67" i="17"/>
  <c r="D66" i="17"/>
  <c r="M66" i="17" s="1"/>
  <c r="C66" i="17"/>
  <c r="D65" i="17"/>
  <c r="D63" i="17"/>
  <c r="M63" i="17" s="1"/>
  <c r="C63" i="17"/>
  <c r="D62" i="17"/>
  <c r="M62" i="17" s="1"/>
  <c r="C62" i="17"/>
  <c r="M61" i="17"/>
  <c r="M60" i="17" s="1"/>
  <c r="D61" i="17"/>
  <c r="C61" i="17"/>
  <c r="D48" i="17"/>
  <c r="M48" i="17" s="1"/>
  <c r="C48" i="17"/>
  <c r="D47" i="17"/>
  <c r="M47" i="17" s="1"/>
  <c r="C47" i="17"/>
  <c r="D46" i="17"/>
  <c r="M46" i="17" s="1"/>
  <c r="C46" i="17"/>
  <c r="D45" i="17"/>
  <c r="M45" i="17" s="1"/>
  <c r="C45" i="17"/>
  <c r="D44" i="17"/>
  <c r="D43" i="17" s="1"/>
  <c r="C44" i="17"/>
  <c r="D34" i="17"/>
  <c r="B34" i="17"/>
  <c r="D32" i="17"/>
  <c r="M32" i="17" s="1"/>
  <c r="C32" i="17"/>
  <c r="D31" i="17"/>
  <c r="M31" i="17" s="1"/>
  <c r="C31" i="17"/>
  <c r="D30" i="17"/>
  <c r="M30" i="17" s="1"/>
  <c r="C30" i="17"/>
  <c r="D29" i="17"/>
  <c r="M29" i="17" s="1"/>
  <c r="M28" i="17" s="1"/>
  <c r="M27" i="17" s="1"/>
  <c r="C29" i="17"/>
  <c r="D28" i="17"/>
  <c r="C28" i="17"/>
  <c r="D27" i="17"/>
  <c r="M25" i="17"/>
  <c r="D25" i="17"/>
  <c r="C25" i="17"/>
  <c r="D24" i="17"/>
  <c r="M24" i="17" s="1"/>
  <c r="C24" i="17"/>
  <c r="B24" i="17"/>
  <c r="B25" i="17" s="1"/>
  <c r="D23" i="17"/>
  <c r="M23" i="17" s="1"/>
  <c r="C23" i="17"/>
  <c r="B23" i="17"/>
  <c r="D22" i="17"/>
  <c r="M22" i="17" s="1"/>
  <c r="M21" i="17" s="1"/>
  <c r="C22" i="17"/>
  <c r="M19" i="17"/>
  <c r="D19" i="17"/>
  <c r="C19" i="17"/>
  <c r="B19" i="17"/>
  <c r="M18" i="17"/>
  <c r="M17" i="17" s="1"/>
  <c r="D18" i="17"/>
  <c r="D17" i="17" s="1"/>
  <c r="C18" i="17"/>
  <c r="C11" i="28" l="1"/>
  <c r="I11" i="8"/>
  <c r="M21" i="19"/>
  <c r="M44" i="21"/>
  <c r="M43" i="21" s="1"/>
  <c r="M16" i="21"/>
  <c r="C11" i="21" s="1"/>
  <c r="M44" i="17"/>
  <c r="M43" i="17" s="1"/>
  <c r="M21" i="18"/>
  <c r="M16" i="18" s="1"/>
  <c r="C11" i="18" s="1"/>
  <c r="M65" i="17"/>
  <c r="M16" i="17" s="1"/>
  <c r="C11" i="17" s="1"/>
  <c r="M60" i="20"/>
  <c r="M60" i="19"/>
  <c r="M16" i="19" s="1"/>
  <c r="C11" i="19" s="1"/>
  <c r="M16" i="20"/>
  <c r="C11" i="20" s="1"/>
  <c r="D21" i="17"/>
  <c r="D60" i="19"/>
  <c r="D60" i="21"/>
  <c r="D60" i="17"/>
  <c r="D17" i="21"/>
  <c r="D69" i="17"/>
  <c r="D21" i="18"/>
  <c r="D65" i="18"/>
  <c r="D69" i="19"/>
  <c r="D21" i="20"/>
  <c r="D65" i="20"/>
  <c r="D69" i="21"/>
  <c r="D70" i="16" l="1"/>
  <c r="M70" i="16" s="1"/>
  <c r="M69" i="16" s="1"/>
  <c r="C70" i="16"/>
  <c r="D67" i="16"/>
  <c r="M67" i="16" s="1"/>
  <c r="C67" i="16"/>
  <c r="D66" i="16"/>
  <c r="M66" i="16" s="1"/>
  <c r="M65" i="16" s="1"/>
  <c r="C66" i="16"/>
  <c r="D63" i="16"/>
  <c r="M63" i="16" s="1"/>
  <c r="C63" i="16"/>
  <c r="D62" i="16"/>
  <c r="M62" i="16" s="1"/>
  <c r="C62" i="16"/>
  <c r="D61" i="16"/>
  <c r="M61" i="16" s="1"/>
  <c r="M60" i="16" s="1"/>
  <c r="C61" i="16"/>
  <c r="D48" i="16"/>
  <c r="M48" i="16" s="1"/>
  <c r="C48" i="16"/>
  <c r="D47" i="16"/>
  <c r="M47" i="16" s="1"/>
  <c r="C47" i="16"/>
  <c r="D46" i="16"/>
  <c r="M46" i="16" s="1"/>
  <c r="C46" i="16"/>
  <c r="D45" i="16"/>
  <c r="M45" i="16" s="1"/>
  <c r="C45" i="16"/>
  <c r="D44" i="16"/>
  <c r="C44" i="16"/>
  <c r="D43" i="16"/>
  <c r="D34" i="16"/>
  <c r="B34" i="16"/>
  <c r="D32" i="16"/>
  <c r="M32" i="16" s="1"/>
  <c r="C32" i="16"/>
  <c r="D31" i="16"/>
  <c r="M31" i="16" s="1"/>
  <c r="C31" i="16"/>
  <c r="D30" i="16"/>
  <c r="M30" i="16" s="1"/>
  <c r="C30" i="16"/>
  <c r="D29" i="16"/>
  <c r="M29" i="16" s="1"/>
  <c r="M28" i="16" s="1"/>
  <c r="M27" i="16" s="1"/>
  <c r="C29" i="16"/>
  <c r="D28" i="16"/>
  <c r="D27" i="16" s="1"/>
  <c r="C28" i="16"/>
  <c r="M25" i="16"/>
  <c r="D25" i="16"/>
  <c r="C25" i="16"/>
  <c r="D24" i="16"/>
  <c r="M24" i="16" s="1"/>
  <c r="C24" i="16"/>
  <c r="M23" i="16"/>
  <c r="D23" i="16"/>
  <c r="C23" i="16"/>
  <c r="B23" i="16"/>
  <c r="B24" i="16" s="1"/>
  <c r="B25" i="16" s="1"/>
  <c r="D22" i="16"/>
  <c r="M22" i="16" s="1"/>
  <c r="M21" i="16" s="1"/>
  <c r="C22" i="16"/>
  <c r="M19" i="16"/>
  <c r="D19" i="16"/>
  <c r="C19" i="16"/>
  <c r="B19" i="16"/>
  <c r="D18" i="16"/>
  <c r="M18" i="16" s="1"/>
  <c r="M17" i="16" s="1"/>
  <c r="C18" i="16"/>
  <c r="D70" i="15"/>
  <c r="M70" i="15" s="1"/>
  <c r="M69" i="15" s="1"/>
  <c r="C70" i="15"/>
  <c r="M67" i="15"/>
  <c r="D67" i="15"/>
  <c r="C67" i="15"/>
  <c r="D66" i="15"/>
  <c r="M66" i="15" s="1"/>
  <c r="M65" i="15" s="1"/>
  <c r="C66" i="15"/>
  <c r="D63" i="15"/>
  <c r="M63" i="15" s="1"/>
  <c r="C63" i="15"/>
  <c r="D62" i="15"/>
  <c r="M62" i="15" s="1"/>
  <c r="C62" i="15"/>
  <c r="D61" i="15"/>
  <c r="M61" i="15" s="1"/>
  <c r="M60" i="15" s="1"/>
  <c r="C61" i="15"/>
  <c r="D60" i="15"/>
  <c r="D48" i="15"/>
  <c r="M48" i="15" s="1"/>
  <c r="C48" i="15"/>
  <c r="M47" i="15"/>
  <c r="D47" i="15"/>
  <c r="C47" i="15"/>
  <c r="D46" i="15"/>
  <c r="M46" i="15" s="1"/>
  <c r="C46" i="15"/>
  <c r="M45" i="15"/>
  <c r="D45" i="15"/>
  <c r="C45" i="15"/>
  <c r="D44" i="15"/>
  <c r="C44" i="15"/>
  <c r="D43" i="15"/>
  <c r="D34" i="15"/>
  <c r="B34" i="15"/>
  <c r="M32" i="15"/>
  <c r="D32" i="15"/>
  <c r="C32" i="15"/>
  <c r="D31" i="15"/>
  <c r="M31" i="15" s="1"/>
  <c r="M28" i="15" s="1"/>
  <c r="M27" i="15" s="1"/>
  <c r="C31" i="15"/>
  <c r="M30" i="15"/>
  <c r="D30" i="15"/>
  <c r="C30" i="15"/>
  <c r="M29" i="15"/>
  <c r="D29" i="15"/>
  <c r="C29" i="15"/>
  <c r="D28" i="15"/>
  <c r="D27" i="15" s="1"/>
  <c r="C28" i="15"/>
  <c r="D25" i="15"/>
  <c r="M25" i="15" s="1"/>
  <c r="C25" i="15"/>
  <c r="M24" i="15"/>
  <c r="D24" i="15"/>
  <c r="C24" i="15"/>
  <c r="M23" i="15"/>
  <c r="D23" i="15"/>
  <c r="C23" i="15"/>
  <c r="B23" i="15"/>
  <c r="B24" i="15" s="1"/>
  <c r="B25" i="15" s="1"/>
  <c r="D22" i="15"/>
  <c r="M22" i="15" s="1"/>
  <c r="C22" i="15"/>
  <c r="D19" i="15"/>
  <c r="M19" i="15" s="1"/>
  <c r="C19" i="15"/>
  <c r="B19" i="15"/>
  <c r="M18" i="15"/>
  <c r="M17" i="15" s="1"/>
  <c r="D18" i="15"/>
  <c r="D17" i="15" s="1"/>
  <c r="C18" i="15"/>
  <c r="D70" i="14"/>
  <c r="M70" i="14" s="1"/>
  <c r="M69" i="14" s="1"/>
  <c r="C70" i="14"/>
  <c r="D67" i="14"/>
  <c r="M67" i="14" s="1"/>
  <c r="C67" i="14"/>
  <c r="D66" i="14"/>
  <c r="M66" i="14" s="1"/>
  <c r="M65" i="14" s="1"/>
  <c r="C66" i="14"/>
  <c r="D63" i="14"/>
  <c r="M63" i="14" s="1"/>
  <c r="C63" i="14"/>
  <c r="D62" i="14"/>
  <c r="M62" i="14" s="1"/>
  <c r="M60" i="14" s="1"/>
  <c r="C62" i="14"/>
  <c r="M61" i="14"/>
  <c r="D61" i="14"/>
  <c r="C61" i="14"/>
  <c r="D48" i="14"/>
  <c r="M48" i="14" s="1"/>
  <c r="C48" i="14"/>
  <c r="D47" i="14"/>
  <c r="M47" i="14" s="1"/>
  <c r="C47" i="14"/>
  <c r="D46" i="14"/>
  <c r="M46" i="14" s="1"/>
  <c r="C46" i="14"/>
  <c r="D45" i="14"/>
  <c r="M45" i="14" s="1"/>
  <c r="C45" i="14"/>
  <c r="D44" i="14"/>
  <c r="C44" i="14"/>
  <c r="D43" i="14"/>
  <c r="D34" i="14"/>
  <c r="B34" i="14"/>
  <c r="D32" i="14"/>
  <c r="M32" i="14" s="1"/>
  <c r="C32" i="14"/>
  <c r="D31" i="14"/>
  <c r="M31" i="14" s="1"/>
  <c r="C31" i="14"/>
  <c r="D30" i="14"/>
  <c r="M30" i="14" s="1"/>
  <c r="C30" i="14"/>
  <c r="D29" i="14"/>
  <c r="M29" i="14" s="1"/>
  <c r="M28" i="14" s="1"/>
  <c r="M27" i="14" s="1"/>
  <c r="C29" i="14"/>
  <c r="D28" i="14"/>
  <c r="D27" i="14" s="1"/>
  <c r="C28" i="14"/>
  <c r="M25" i="14"/>
  <c r="D25" i="14"/>
  <c r="C25" i="14"/>
  <c r="D24" i="14"/>
  <c r="M24" i="14" s="1"/>
  <c r="C24" i="14"/>
  <c r="D23" i="14"/>
  <c r="M23" i="14" s="1"/>
  <c r="C23" i="14"/>
  <c r="B23" i="14"/>
  <c r="B24" i="14" s="1"/>
  <c r="B25" i="14" s="1"/>
  <c r="D22" i="14"/>
  <c r="M22" i="14" s="1"/>
  <c r="M21" i="14" s="1"/>
  <c r="C22" i="14"/>
  <c r="D19" i="14"/>
  <c r="M19" i="14" s="1"/>
  <c r="C19" i="14"/>
  <c r="B19" i="14"/>
  <c r="M18" i="14"/>
  <c r="D18" i="14"/>
  <c r="D17" i="14" s="1"/>
  <c r="C18" i="14"/>
  <c r="D70" i="13"/>
  <c r="M70" i="13" s="1"/>
  <c r="M69" i="13" s="1"/>
  <c r="C70" i="13"/>
  <c r="D67" i="13"/>
  <c r="M67" i="13" s="1"/>
  <c r="C67" i="13"/>
  <c r="D66" i="13"/>
  <c r="M66" i="13" s="1"/>
  <c r="M65" i="13" s="1"/>
  <c r="C66" i="13"/>
  <c r="D63" i="13"/>
  <c r="M63" i="13" s="1"/>
  <c r="C63" i="13"/>
  <c r="D62" i="13"/>
  <c r="M62" i="13" s="1"/>
  <c r="C62" i="13"/>
  <c r="D61" i="13"/>
  <c r="M61" i="13" s="1"/>
  <c r="M60" i="13" s="1"/>
  <c r="C61" i="13"/>
  <c r="D60" i="13"/>
  <c r="D48" i="13"/>
  <c r="M48" i="13" s="1"/>
  <c r="C48" i="13"/>
  <c r="M47" i="13"/>
  <c r="D47" i="13"/>
  <c r="C47" i="13"/>
  <c r="D46" i="13"/>
  <c r="M46" i="13" s="1"/>
  <c r="C46" i="13"/>
  <c r="D45" i="13"/>
  <c r="M45" i="13" s="1"/>
  <c r="M44" i="13" s="1"/>
  <c r="M43" i="13" s="1"/>
  <c r="C45" i="13"/>
  <c r="D44" i="13"/>
  <c r="C44" i="13"/>
  <c r="D43" i="13"/>
  <c r="D34" i="13"/>
  <c r="B34" i="13"/>
  <c r="M32" i="13"/>
  <c r="D32" i="13"/>
  <c r="C32" i="13"/>
  <c r="D31" i="13"/>
  <c r="M31" i="13" s="1"/>
  <c r="C31" i="13"/>
  <c r="D30" i="13"/>
  <c r="M30" i="13" s="1"/>
  <c r="M28" i="13" s="1"/>
  <c r="M27" i="13" s="1"/>
  <c r="C30" i="13"/>
  <c r="M29" i="13"/>
  <c r="D29" i="13"/>
  <c r="C29" i="13"/>
  <c r="D28" i="13"/>
  <c r="D27" i="13" s="1"/>
  <c r="C28" i="13"/>
  <c r="D25" i="13"/>
  <c r="M25" i="13" s="1"/>
  <c r="C25" i="13"/>
  <c r="D24" i="13"/>
  <c r="M24" i="13" s="1"/>
  <c r="C24" i="13"/>
  <c r="M23" i="13"/>
  <c r="D23" i="13"/>
  <c r="C23" i="13"/>
  <c r="B23" i="13"/>
  <c r="B24" i="13" s="1"/>
  <c r="B25" i="13" s="1"/>
  <c r="D22" i="13"/>
  <c r="M22" i="13" s="1"/>
  <c r="C22" i="13"/>
  <c r="M19" i="13"/>
  <c r="D19" i="13"/>
  <c r="C19" i="13"/>
  <c r="B19" i="13"/>
  <c r="D18" i="13"/>
  <c r="M18" i="13" s="1"/>
  <c r="M17" i="13" s="1"/>
  <c r="C18" i="13"/>
  <c r="D70" i="12"/>
  <c r="M70" i="12" s="1"/>
  <c r="C70" i="12"/>
  <c r="D67" i="12"/>
  <c r="M67" i="12" s="1"/>
  <c r="C67" i="12"/>
  <c r="D66" i="12"/>
  <c r="M66" i="12" s="1"/>
  <c r="M65" i="12" s="1"/>
  <c r="C66" i="12"/>
  <c r="D63" i="12"/>
  <c r="C63" i="12"/>
  <c r="D62" i="12"/>
  <c r="M62" i="12" s="1"/>
  <c r="C62" i="12"/>
  <c r="D61" i="12"/>
  <c r="M61" i="12" s="1"/>
  <c r="C61" i="12"/>
  <c r="D48" i="12"/>
  <c r="M48" i="12" s="1"/>
  <c r="C48" i="12"/>
  <c r="D47" i="12"/>
  <c r="M47" i="12" s="1"/>
  <c r="C47" i="12"/>
  <c r="D46" i="12"/>
  <c r="M46" i="12" s="1"/>
  <c r="C46" i="12"/>
  <c r="D45" i="12"/>
  <c r="M45" i="12" s="1"/>
  <c r="C45" i="12"/>
  <c r="D44" i="12"/>
  <c r="D43" i="12" s="1"/>
  <c r="C44" i="12"/>
  <c r="D34" i="12"/>
  <c r="B34" i="12"/>
  <c r="D32" i="12"/>
  <c r="M32" i="12" s="1"/>
  <c r="C32" i="12"/>
  <c r="D31" i="12"/>
  <c r="M31" i="12" s="1"/>
  <c r="C31" i="12"/>
  <c r="D30" i="12"/>
  <c r="M30" i="12" s="1"/>
  <c r="C30" i="12"/>
  <c r="D29" i="12"/>
  <c r="M29" i="12" s="1"/>
  <c r="C29" i="12"/>
  <c r="D28" i="12"/>
  <c r="D27" i="12" s="1"/>
  <c r="C28" i="12"/>
  <c r="D25" i="12"/>
  <c r="M25" i="12" s="1"/>
  <c r="C25" i="12"/>
  <c r="D24" i="12"/>
  <c r="M24" i="12" s="1"/>
  <c r="C24" i="12"/>
  <c r="D23" i="12"/>
  <c r="M23" i="12" s="1"/>
  <c r="C23" i="12"/>
  <c r="B23" i="12"/>
  <c r="B24" i="12" s="1"/>
  <c r="B25" i="12" s="1"/>
  <c r="D22" i="12"/>
  <c r="M22" i="12" s="1"/>
  <c r="C22" i="12"/>
  <c r="M19" i="12"/>
  <c r="D19" i="12"/>
  <c r="D17" i="12" s="1"/>
  <c r="C19" i="12"/>
  <c r="B19" i="12"/>
  <c r="M18" i="12"/>
  <c r="D18" i="12"/>
  <c r="C18" i="12"/>
  <c r="D70" i="11"/>
  <c r="C70" i="11"/>
  <c r="D67" i="11"/>
  <c r="M67" i="11" s="1"/>
  <c r="C67" i="11"/>
  <c r="D66" i="11"/>
  <c r="C66" i="11"/>
  <c r="D63" i="11"/>
  <c r="C63" i="11"/>
  <c r="D62" i="11"/>
  <c r="M62" i="11" s="1"/>
  <c r="C62" i="11"/>
  <c r="D61" i="11"/>
  <c r="M61" i="11" s="1"/>
  <c r="C61" i="11"/>
  <c r="D48" i="11"/>
  <c r="M48" i="11" s="1"/>
  <c r="C48" i="11"/>
  <c r="D47" i="11"/>
  <c r="M47" i="11" s="1"/>
  <c r="C47" i="11"/>
  <c r="D46" i="11"/>
  <c r="M46" i="11" s="1"/>
  <c r="C46" i="11"/>
  <c r="D45" i="11"/>
  <c r="M45" i="11" s="1"/>
  <c r="C45" i="11"/>
  <c r="D44" i="11"/>
  <c r="C44" i="11"/>
  <c r="D43" i="11"/>
  <c r="D34" i="11"/>
  <c r="B34" i="11"/>
  <c r="D32" i="11"/>
  <c r="M32" i="11" s="1"/>
  <c r="C32" i="11"/>
  <c r="D31" i="11"/>
  <c r="M31" i="11" s="1"/>
  <c r="C31" i="11"/>
  <c r="D30" i="11"/>
  <c r="M30" i="11" s="1"/>
  <c r="C30" i="11"/>
  <c r="D29" i="11"/>
  <c r="M29" i="11" s="1"/>
  <c r="C29" i="11"/>
  <c r="D28" i="11"/>
  <c r="D27" i="11" s="1"/>
  <c r="C28" i="11"/>
  <c r="D25" i="11"/>
  <c r="M25" i="11" s="1"/>
  <c r="C25" i="11"/>
  <c r="D24" i="11"/>
  <c r="M24" i="11" s="1"/>
  <c r="C24" i="11"/>
  <c r="D23" i="11"/>
  <c r="M23" i="11" s="1"/>
  <c r="C23" i="11"/>
  <c r="B23" i="11"/>
  <c r="B24" i="11" s="1"/>
  <c r="B25" i="11" s="1"/>
  <c r="D22" i="11"/>
  <c r="M22" i="11" s="1"/>
  <c r="C22" i="11"/>
  <c r="M19" i="11"/>
  <c r="D19" i="11"/>
  <c r="C19" i="11"/>
  <c r="B19" i="11"/>
  <c r="D18" i="11"/>
  <c r="M18" i="11" s="1"/>
  <c r="C18" i="11"/>
  <c r="D70" i="10"/>
  <c r="M70" i="10" s="1"/>
  <c r="M69" i="10" s="1"/>
  <c r="C70" i="10"/>
  <c r="D67" i="10"/>
  <c r="M67" i="10" s="1"/>
  <c r="C67" i="10"/>
  <c r="D66" i="10"/>
  <c r="D65" i="10" s="1"/>
  <c r="C66" i="10"/>
  <c r="D63" i="10"/>
  <c r="M63" i="10" s="1"/>
  <c r="C63" i="10"/>
  <c r="D62" i="10"/>
  <c r="M62" i="10" s="1"/>
  <c r="C62" i="10"/>
  <c r="D61" i="10"/>
  <c r="M61" i="10" s="1"/>
  <c r="C61" i="10"/>
  <c r="D48" i="10"/>
  <c r="M48" i="10" s="1"/>
  <c r="C48" i="10"/>
  <c r="D47" i="10"/>
  <c r="M47" i="10" s="1"/>
  <c r="C47" i="10"/>
  <c r="D46" i="10"/>
  <c r="M46" i="10" s="1"/>
  <c r="C46" i="10"/>
  <c r="D45" i="10"/>
  <c r="M45" i="10" s="1"/>
  <c r="C45" i="10"/>
  <c r="D44" i="10"/>
  <c r="D43" i="10" s="1"/>
  <c r="C44" i="10"/>
  <c r="D34" i="10"/>
  <c r="B34" i="10"/>
  <c r="D32" i="10"/>
  <c r="M32" i="10" s="1"/>
  <c r="C32" i="10"/>
  <c r="D31" i="10"/>
  <c r="M31" i="10" s="1"/>
  <c r="C31" i="10"/>
  <c r="D30" i="10"/>
  <c r="M30" i="10" s="1"/>
  <c r="C30" i="10"/>
  <c r="M29" i="10"/>
  <c r="D29" i="10"/>
  <c r="C29" i="10"/>
  <c r="D28" i="10"/>
  <c r="D27" i="10" s="1"/>
  <c r="C28" i="10"/>
  <c r="D25" i="10"/>
  <c r="C25" i="10"/>
  <c r="B25" i="10"/>
  <c r="D24" i="10"/>
  <c r="M24" i="10" s="1"/>
  <c r="C24" i="10"/>
  <c r="B24" i="10"/>
  <c r="M23" i="10"/>
  <c r="D23" i="10"/>
  <c r="C23" i="10"/>
  <c r="B23" i="10"/>
  <c r="D22" i="10"/>
  <c r="M22" i="10" s="1"/>
  <c r="C22" i="10"/>
  <c r="M19" i="10"/>
  <c r="D19" i="10"/>
  <c r="C19" i="10"/>
  <c r="B19" i="10"/>
  <c r="D18" i="10"/>
  <c r="M18" i="10" s="1"/>
  <c r="C18" i="10"/>
  <c r="D70" i="9"/>
  <c r="C70" i="9"/>
  <c r="D67" i="9"/>
  <c r="M67" i="9" s="1"/>
  <c r="C67" i="9"/>
  <c r="D66" i="9"/>
  <c r="M66" i="9" s="1"/>
  <c r="C66" i="9"/>
  <c r="D63" i="9"/>
  <c r="M63" i="9" s="1"/>
  <c r="C63" i="9"/>
  <c r="D62" i="9"/>
  <c r="M62" i="9" s="1"/>
  <c r="C62" i="9"/>
  <c r="D61" i="9"/>
  <c r="M61" i="9" s="1"/>
  <c r="C61" i="9"/>
  <c r="D48" i="9"/>
  <c r="M48" i="9" s="1"/>
  <c r="C48" i="9"/>
  <c r="D47" i="9"/>
  <c r="M47" i="9" s="1"/>
  <c r="C47" i="9"/>
  <c r="D46" i="9"/>
  <c r="M46" i="9" s="1"/>
  <c r="C46" i="9"/>
  <c r="D45" i="9"/>
  <c r="M45" i="9" s="1"/>
  <c r="C45" i="9"/>
  <c r="D44" i="9"/>
  <c r="D43" i="9" s="1"/>
  <c r="C44" i="9"/>
  <c r="D34" i="9"/>
  <c r="B34" i="9"/>
  <c r="D32" i="9"/>
  <c r="M32" i="9" s="1"/>
  <c r="C32" i="9"/>
  <c r="D31" i="9"/>
  <c r="M31" i="9" s="1"/>
  <c r="C31" i="9"/>
  <c r="D30" i="9"/>
  <c r="M30" i="9" s="1"/>
  <c r="C30" i="9"/>
  <c r="D29" i="9"/>
  <c r="M29" i="9" s="1"/>
  <c r="C29" i="9"/>
  <c r="D28" i="9"/>
  <c r="D27" i="9" s="1"/>
  <c r="C28" i="9"/>
  <c r="D25" i="9"/>
  <c r="C25" i="9"/>
  <c r="D24" i="9"/>
  <c r="M24" i="9" s="1"/>
  <c r="C24" i="9"/>
  <c r="B24" i="9"/>
  <c r="B25" i="9" s="1"/>
  <c r="D23" i="9"/>
  <c r="M23" i="9" s="1"/>
  <c r="C23" i="9"/>
  <c r="B23" i="9"/>
  <c r="D22" i="9"/>
  <c r="M22" i="9" s="1"/>
  <c r="C22" i="9"/>
  <c r="M19" i="9"/>
  <c r="D19" i="9"/>
  <c r="C19" i="9"/>
  <c r="B19" i="9"/>
  <c r="D18" i="9"/>
  <c r="M18" i="9" s="1"/>
  <c r="C18" i="9"/>
  <c r="D70" i="7"/>
  <c r="M70" i="7" s="1"/>
  <c r="C70" i="7"/>
  <c r="D67" i="7"/>
  <c r="M67" i="7" s="1"/>
  <c r="C67" i="7"/>
  <c r="D66" i="7"/>
  <c r="M66" i="7" s="1"/>
  <c r="C66" i="7"/>
  <c r="D63" i="7"/>
  <c r="C63" i="7"/>
  <c r="D62" i="7"/>
  <c r="C62" i="7"/>
  <c r="D61" i="7"/>
  <c r="C61" i="7"/>
  <c r="D48" i="7"/>
  <c r="M48" i="7" s="1"/>
  <c r="C48" i="7"/>
  <c r="D47" i="7"/>
  <c r="M47" i="7" s="1"/>
  <c r="C47" i="7"/>
  <c r="D46" i="7"/>
  <c r="M46" i="7" s="1"/>
  <c r="C46" i="7"/>
  <c r="D45" i="7"/>
  <c r="C45" i="7"/>
  <c r="C44" i="7"/>
  <c r="D32" i="7"/>
  <c r="C32" i="7"/>
  <c r="D31" i="7"/>
  <c r="M31" i="7" s="1"/>
  <c r="C31" i="7"/>
  <c r="D30" i="7"/>
  <c r="M30" i="7" s="1"/>
  <c r="C30" i="7"/>
  <c r="D29" i="7"/>
  <c r="M29" i="7" s="1"/>
  <c r="C29" i="7"/>
  <c r="D28" i="7"/>
  <c r="D27" i="7" s="1"/>
  <c r="C28" i="7"/>
  <c r="D25" i="7"/>
  <c r="M25" i="7" s="1"/>
  <c r="C25" i="7"/>
  <c r="D24" i="7"/>
  <c r="M24" i="7" s="1"/>
  <c r="C24" i="7"/>
  <c r="D23" i="7"/>
  <c r="M23" i="7" s="1"/>
  <c r="C23" i="7"/>
  <c r="D22" i="7"/>
  <c r="C22" i="7"/>
  <c r="D19" i="7"/>
  <c r="C19" i="7"/>
  <c r="D18" i="7"/>
  <c r="M18" i="7" s="1"/>
  <c r="C18" i="7"/>
  <c r="D70" i="6"/>
  <c r="D69" i="6" s="1"/>
  <c r="C70" i="6"/>
  <c r="D67" i="6"/>
  <c r="M67" i="6" s="1"/>
  <c r="C67" i="6"/>
  <c r="D66" i="6"/>
  <c r="C66" i="6"/>
  <c r="D63" i="6"/>
  <c r="M63" i="6" s="1"/>
  <c r="C63" i="6"/>
  <c r="D62" i="6"/>
  <c r="M62" i="6" s="1"/>
  <c r="C62" i="6"/>
  <c r="D61" i="6"/>
  <c r="C61" i="6"/>
  <c r="D48" i="6"/>
  <c r="M48" i="6" s="1"/>
  <c r="C48" i="6"/>
  <c r="D47" i="6"/>
  <c r="M47" i="6" s="1"/>
  <c r="C47" i="6"/>
  <c r="D46" i="6"/>
  <c r="M46" i="6" s="1"/>
  <c r="C46" i="6"/>
  <c r="D45" i="6"/>
  <c r="M45" i="6" s="1"/>
  <c r="C45" i="6"/>
  <c r="C44" i="6"/>
  <c r="D32" i="6"/>
  <c r="M32" i="6" s="1"/>
  <c r="C32" i="6"/>
  <c r="D31" i="6"/>
  <c r="M31" i="6" s="1"/>
  <c r="C31" i="6"/>
  <c r="D30" i="6"/>
  <c r="M30" i="6" s="1"/>
  <c r="C30" i="6"/>
  <c r="D29" i="6"/>
  <c r="M29" i="6" s="1"/>
  <c r="C29" i="6"/>
  <c r="D28" i="6"/>
  <c r="C28" i="6"/>
  <c r="D25" i="6"/>
  <c r="M25" i="6" s="1"/>
  <c r="C25" i="6"/>
  <c r="D24" i="6"/>
  <c r="M24" i="6" s="1"/>
  <c r="C24" i="6"/>
  <c r="D23" i="6"/>
  <c r="M23" i="6" s="1"/>
  <c r="C23" i="6"/>
  <c r="D22" i="6"/>
  <c r="M22" i="6" s="1"/>
  <c r="C22" i="6"/>
  <c r="D19" i="6"/>
  <c r="C19" i="6"/>
  <c r="D18" i="6"/>
  <c r="M18" i="6" s="1"/>
  <c r="C18" i="6"/>
  <c r="D70" i="4"/>
  <c r="M70" i="4" s="1"/>
  <c r="M69" i="4" s="1"/>
  <c r="C70" i="4"/>
  <c r="D67" i="4"/>
  <c r="M67" i="4" s="1"/>
  <c r="C67" i="4"/>
  <c r="D66" i="4"/>
  <c r="M66" i="4" s="1"/>
  <c r="C66" i="4"/>
  <c r="D63" i="4"/>
  <c r="M63" i="4" s="1"/>
  <c r="C63" i="4"/>
  <c r="D62" i="4"/>
  <c r="M62" i="4" s="1"/>
  <c r="C62" i="4"/>
  <c r="D61" i="4"/>
  <c r="M61" i="4" s="1"/>
  <c r="C61" i="4"/>
  <c r="D48" i="4"/>
  <c r="M48" i="4" s="1"/>
  <c r="C48" i="4"/>
  <c r="D47" i="4"/>
  <c r="M47" i="4" s="1"/>
  <c r="C47" i="4"/>
  <c r="D46" i="4"/>
  <c r="M46" i="4" s="1"/>
  <c r="C46" i="4"/>
  <c r="D45" i="4"/>
  <c r="M45" i="4" s="1"/>
  <c r="C45" i="4"/>
  <c r="C44" i="4"/>
  <c r="D32" i="4"/>
  <c r="M32" i="4" s="1"/>
  <c r="C32" i="4"/>
  <c r="D31" i="4"/>
  <c r="M31" i="4" s="1"/>
  <c r="C31" i="4"/>
  <c r="D30" i="4"/>
  <c r="M30" i="4" s="1"/>
  <c r="C30" i="4"/>
  <c r="D29" i="4"/>
  <c r="M29" i="4" s="1"/>
  <c r="C29" i="4"/>
  <c r="C28" i="4"/>
  <c r="D25" i="4"/>
  <c r="M25" i="4" s="1"/>
  <c r="C25" i="4"/>
  <c r="D24" i="4"/>
  <c r="M24" i="4" s="1"/>
  <c r="C24" i="4"/>
  <c r="D23" i="4"/>
  <c r="C23" i="4"/>
  <c r="D22" i="4"/>
  <c r="M22" i="4" s="1"/>
  <c r="C22" i="4"/>
  <c r="D19" i="4"/>
  <c r="C19" i="4"/>
  <c r="D18" i="4"/>
  <c r="M18" i="4" s="1"/>
  <c r="C18" i="4"/>
  <c r="D70" i="1"/>
  <c r="M70" i="1" s="1"/>
  <c r="C70" i="1"/>
  <c r="D67" i="1"/>
  <c r="M67" i="1" s="1"/>
  <c r="C67" i="1"/>
  <c r="D66" i="1"/>
  <c r="M66" i="1" s="1"/>
  <c r="C66" i="1"/>
  <c r="D63" i="1"/>
  <c r="M63" i="1" s="1"/>
  <c r="C63" i="1"/>
  <c r="D62" i="1"/>
  <c r="M62" i="1" s="1"/>
  <c r="C62" i="1"/>
  <c r="D61" i="1"/>
  <c r="M61" i="1" s="1"/>
  <c r="C61" i="1"/>
  <c r="D48" i="1"/>
  <c r="M48" i="1" s="1"/>
  <c r="C48" i="1"/>
  <c r="D47" i="1"/>
  <c r="M47" i="1" s="1"/>
  <c r="C47" i="1"/>
  <c r="D46" i="1"/>
  <c r="M46" i="1" s="1"/>
  <c r="C46" i="1"/>
  <c r="D45" i="1"/>
  <c r="M45" i="1" s="1"/>
  <c r="C45" i="1"/>
  <c r="C44" i="1"/>
  <c r="D32" i="1"/>
  <c r="M32" i="1" s="1"/>
  <c r="C32" i="1"/>
  <c r="D31" i="1"/>
  <c r="M31" i="1" s="1"/>
  <c r="C31" i="1"/>
  <c r="D30" i="1"/>
  <c r="M30" i="1" s="1"/>
  <c r="C30" i="1"/>
  <c r="D29" i="1"/>
  <c r="M29" i="1" s="1"/>
  <c r="C29" i="1"/>
  <c r="D28" i="1"/>
  <c r="D27" i="1" s="1"/>
  <c r="C28" i="1"/>
  <c r="D25" i="1"/>
  <c r="M25" i="1" s="1"/>
  <c r="C25" i="1"/>
  <c r="D24" i="1"/>
  <c r="M24" i="1" s="1"/>
  <c r="C24" i="1"/>
  <c r="D23" i="1"/>
  <c r="M23" i="1" s="1"/>
  <c r="C23" i="1"/>
  <c r="D22" i="1"/>
  <c r="M22" i="1" s="1"/>
  <c r="C22" i="1"/>
  <c r="D19" i="1"/>
  <c r="C19" i="1"/>
  <c r="D18" i="1"/>
  <c r="E18" i="5"/>
  <c r="C18" i="1"/>
  <c r="E70" i="5"/>
  <c r="E69" i="5" s="1"/>
  <c r="E67" i="5"/>
  <c r="E66" i="5"/>
  <c r="E63" i="5"/>
  <c r="E62" i="5"/>
  <c r="E61" i="5"/>
  <c r="E48" i="5"/>
  <c r="E47" i="5"/>
  <c r="E46" i="5"/>
  <c r="E45" i="5"/>
  <c r="E32" i="5"/>
  <c r="E31" i="5"/>
  <c r="E30" i="5"/>
  <c r="E29" i="5"/>
  <c r="E28" i="5"/>
  <c r="E27" i="5" s="1"/>
  <c r="E25" i="5"/>
  <c r="E24" i="5"/>
  <c r="E23" i="5"/>
  <c r="E22" i="5"/>
  <c r="E19" i="5"/>
  <c r="D70" i="5"/>
  <c r="D67" i="5"/>
  <c r="D66" i="5"/>
  <c r="D63" i="5"/>
  <c r="D62" i="5"/>
  <c r="D61" i="5"/>
  <c r="D48" i="5"/>
  <c r="D47" i="5"/>
  <c r="D46" i="5"/>
  <c r="D45" i="5"/>
  <c r="D32" i="5"/>
  <c r="D31" i="5"/>
  <c r="D30" i="5"/>
  <c r="D29" i="5"/>
  <c r="D25" i="5"/>
  <c r="D24" i="5"/>
  <c r="D23" i="5"/>
  <c r="D22" i="5"/>
  <c r="D19" i="5"/>
  <c r="D18" i="5"/>
  <c r="C70" i="5"/>
  <c r="C67" i="5"/>
  <c r="C66" i="5"/>
  <c r="C63" i="5"/>
  <c r="C62" i="5"/>
  <c r="C61" i="5"/>
  <c r="C48" i="5"/>
  <c r="C47" i="5"/>
  <c r="C46" i="5"/>
  <c r="C45" i="5"/>
  <c r="C44" i="5"/>
  <c r="C28" i="5"/>
  <c r="C32" i="5"/>
  <c r="C31" i="5"/>
  <c r="C30" i="5"/>
  <c r="C29" i="5"/>
  <c r="C25" i="5"/>
  <c r="C24" i="5"/>
  <c r="C23" i="5"/>
  <c r="C22" i="5"/>
  <c r="C19" i="5"/>
  <c r="C18" i="5"/>
  <c r="J11" i="8"/>
  <c r="B10" i="8"/>
  <c r="B11" i="8" s="1"/>
  <c r="B12" i="8" s="1"/>
  <c r="B13" i="8" s="1"/>
  <c r="C15" i="3"/>
  <c r="D15" i="3" s="1"/>
  <c r="E15" i="3" s="1"/>
  <c r="B15" i="3"/>
  <c r="M63" i="7"/>
  <c r="M62" i="7"/>
  <c r="M45" i="7"/>
  <c r="D34" i="7"/>
  <c r="B34" i="7"/>
  <c r="M32" i="7"/>
  <c r="B23" i="7"/>
  <c r="B24" i="7" s="1"/>
  <c r="B25" i="7" s="1"/>
  <c r="M22" i="7"/>
  <c r="M19" i="7"/>
  <c r="B19" i="7"/>
  <c r="M66" i="6"/>
  <c r="D34" i="6"/>
  <c r="B34" i="6"/>
  <c r="D27" i="6"/>
  <c r="B23" i="6"/>
  <c r="B24" i="6" s="1"/>
  <c r="B25" i="6" s="1"/>
  <c r="M19" i="6"/>
  <c r="B19" i="6"/>
  <c r="E34" i="5"/>
  <c r="B34" i="5"/>
  <c r="B23" i="5"/>
  <c r="B24" i="5" s="1"/>
  <c r="B25" i="5" s="1"/>
  <c r="B19" i="5"/>
  <c r="D34" i="4"/>
  <c r="B34" i="4"/>
  <c r="B23" i="4"/>
  <c r="B24" i="4" s="1"/>
  <c r="B25" i="4" s="1"/>
  <c r="M19" i="4"/>
  <c r="B19" i="4"/>
  <c r="N25" i="3"/>
  <c r="N24" i="3"/>
  <c r="N23" i="3"/>
  <c r="N22" i="3"/>
  <c r="N19" i="3"/>
  <c r="N18" i="3"/>
  <c r="N70" i="3"/>
  <c r="N69" i="3" s="1"/>
  <c r="E69" i="3"/>
  <c r="N67" i="3"/>
  <c r="N66" i="3"/>
  <c r="E65" i="3"/>
  <c r="N63" i="3"/>
  <c r="N62" i="3"/>
  <c r="N61" i="3"/>
  <c r="E60" i="3"/>
  <c r="N48" i="3"/>
  <c r="N47" i="3"/>
  <c r="N46" i="3"/>
  <c r="N45" i="3"/>
  <c r="E44" i="3"/>
  <c r="E43" i="3" s="1"/>
  <c r="E34" i="3"/>
  <c r="B34" i="3"/>
  <c r="N32" i="3"/>
  <c r="N31" i="3"/>
  <c r="N30" i="3"/>
  <c r="N29" i="3"/>
  <c r="E28" i="3"/>
  <c r="E27" i="3" s="1"/>
  <c r="B23" i="3"/>
  <c r="B24" i="3" s="1"/>
  <c r="B25" i="3" s="1"/>
  <c r="E21" i="3"/>
  <c r="B19" i="3"/>
  <c r="E17" i="3"/>
  <c r="D34" i="1"/>
  <c r="M19" i="1"/>
  <c r="B34" i="1"/>
  <c r="B23" i="1"/>
  <c r="B24" i="1" s="1"/>
  <c r="B25" i="1" s="1"/>
  <c r="B19" i="1"/>
  <c r="M69" i="9" l="1"/>
  <c r="G70" i="31"/>
  <c r="M69" i="12"/>
  <c r="G70" i="30"/>
  <c r="M69" i="1"/>
  <c r="G70" i="29"/>
  <c r="M69" i="11"/>
  <c r="G70" i="5"/>
  <c r="G69" i="5" s="1"/>
  <c r="M44" i="15"/>
  <c r="M43" i="15" s="1"/>
  <c r="M21" i="15"/>
  <c r="M21" i="13"/>
  <c r="M16" i="13" s="1"/>
  <c r="C11" i="13" s="1"/>
  <c r="M44" i="16"/>
  <c r="M43" i="16" s="1"/>
  <c r="M16" i="16" s="1"/>
  <c r="C11" i="16" s="1"/>
  <c r="M16" i="15"/>
  <c r="C11" i="15" s="1"/>
  <c r="M44" i="14"/>
  <c r="M43" i="14" s="1"/>
  <c r="M17" i="14"/>
  <c r="M16" i="14" s="1"/>
  <c r="C11" i="14" s="1"/>
  <c r="D17" i="13"/>
  <c r="D69" i="13"/>
  <c r="D21" i="14"/>
  <c r="D65" i="14"/>
  <c r="D69" i="15"/>
  <c r="D21" i="16"/>
  <c r="D65" i="16"/>
  <c r="D60" i="14"/>
  <c r="D60" i="16"/>
  <c r="D17" i="16"/>
  <c r="D21" i="13"/>
  <c r="D65" i="13"/>
  <c r="D69" i="14"/>
  <c r="D21" i="15"/>
  <c r="D65" i="15"/>
  <c r="D69" i="16"/>
  <c r="M60" i="9"/>
  <c r="I65" i="5"/>
  <c r="D65" i="11"/>
  <c r="M17" i="11"/>
  <c r="D17" i="10"/>
  <c r="M66" i="11"/>
  <c r="M65" i="11" s="1"/>
  <c r="D21" i="11"/>
  <c r="D21" i="9"/>
  <c r="M17" i="9"/>
  <c r="M17" i="10"/>
  <c r="M21" i="12"/>
  <c r="M65" i="9"/>
  <c r="M60" i="10"/>
  <c r="M21" i="11"/>
  <c r="D60" i="12"/>
  <c r="D21" i="10"/>
  <c r="D65" i="12"/>
  <c r="M17" i="12"/>
  <c r="D60" i="11"/>
  <c r="D21" i="12"/>
  <c r="M44" i="11"/>
  <c r="M43" i="11" s="1"/>
  <c r="M44" i="12"/>
  <c r="M43" i="12" s="1"/>
  <c r="M28" i="12"/>
  <c r="M27" i="12" s="1"/>
  <c r="M63" i="12"/>
  <c r="M60" i="12" s="1"/>
  <c r="D69" i="12"/>
  <c r="M28" i="11"/>
  <c r="M27" i="11" s="1"/>
  <c r="M63" i="11"/>
  <c r="M60" i="11" s="1"/>
  <c r="D17" i="11"/>
  <c r="D69" i="11"/>
  <c r="M44" i="10"/>
  <c r="M43" i="10" s="1"/>
  <c r="M28" i="10"/>
  <c r="M27" i="10" s="1"/>
  <c r="M25" i="10"/>
  <c r="M21" i="10" s="1"/>
  <c r="M66" i="10"/>
  <c r="M65" i="10" s="1"/>
  <c r="D60" i="10"/>
  <c r="D69" i="10"/>
  <c r="M44" i="9"/>
  <c r="M43" i="9" s="1"/>
  <c r="M28" i="9"/>
  <c r="M27" i="9" s="1"/>
  <c r="D65" i="9"/>
  <c r="M25" i="9"/>
  <c r="M21" i="9" s="1"/>
  <c r="D60" i="9"/>
  <c r="D17" i="9"/>
  <c r="D69" i="9"/>
  <c r="D69" i="4"/>
  <c r="G60" i="5"/>
  <c r="H65" i="5"/>
  <c r="I17" i="5"/>
  <c r="H44" i="5"/>
  <c r="H43" i="5" s="1"/>
  <c r="H17" i="5"/>
  <c r="H60" i="5"/>
  <c r="I21" i="5"/>
  <c r="G27" i="5"/>
  <c r="J28" i="5"/>
  <c r="J27" i="5" s="1"/>
  <c r="G21" i="5"/>
  <c r="I28" i="5"/>
  <c r="I27" i="5" s="1"/>
  <c r="D69" i="7"/>
  <c r="G44" i="5"/>
  <c r="G43" i="5" s="1"/>
  <c r="H28" i="5"/>
  <c r="H27" i="5" s="1"/>
  <c r="E44" i="5"/>
  <c r="E43" i="5" s="1"/>
  <c r="D44" i="4"/>
  <c r="D43" i="4" s="1"/>
  <c r="D44" i="1"/>
  <c r="D43" i="1" s="1"/>
  <c r="D28" i="4"/>
  <c r="D27" i="4" s="1"/>
  <c r="D44" i="7"/>
  <c r="D43" i="7" s="1"/>
  <c r="D44" i="6"/>
  <c r="D43" i="6" s="1"/>
  <c r="D60" i="7"/>
  <c r="D17" i="6"/>
  <c r="D17" i="1"/>
  <c r="D65" i="1"/>
  <c r="D65" i="4"/>
  <c r="D69" i="1"/>
  <c r="D17" i="4"/>
  <c r="M70" i="6"/>
  <c r="M69" i="6" s="1"/>
  <c r="E65" i="5"/>
  <c r="M61" i="7"/>
  <c r="D21" i="4"/>
  <c r="D60" i="1"/>
  <c r="E60" i="5"/>
  <c r="D60" i="6"/>
  <c r="M18" i="1"/>
  <c r="E21" i="5"/>
  <c r="D65" i="6"/>
  <c r="M69" i="7"/>
  <c r="D65" i="7"/>
  <c r="D21" i="7"/>
  <c r="D17" i="7"/>
  <c r="M61" i="6"/>
  <c r="I60" i="5" s="1"/>
  <c r="D21" i="6"/>
  <c r="D60" i="4"/>
  <c r="K47" i="5"/>
  <c r="M23" i="4"/>
  <c r="H21" i="5" s="1"/>
  <c r="M65" i="1"/>
  <c r="M65" i="7"/>
  <c r="M60" i="4"/>
  <c r="K46" i="5"/>
  <c r="K22" i="5"/>
  <c r="D21" i="1"/>
  <c r="M17" i="7"/>
  <c r="E17" i="5"/>
  <c r="K63" i="5"/>
  <c r="K48" i="5"/>
  <c r="K25" i="5"/>
  <c r="K29" i="5"/>
  <c r="K31" i="5"/>
  <c r="K32" i="5"/>
  <c r="K24" i="5"/>
  <c r="K30" i="5"/>
  <c r="M44" i="6"/>
  <c r="M43" i="6" s="1"/>
  <c r="M44" i="7"/>
  <c r="M43" i="7" s="1"/>
  <c r="M21" i="6"/>
  <c r="J44" i="5"/>
  <c r="J43" i="5" s="1"/>
  <c r="I44" i="5"/>
  <c r="I43" i="5" s="1"/>
  <c r="M21" i="7"/>
  <c r="K62" i="5"/>
  <c r="M65" i="6"/>
  <c r="M28" i="7"/>
  <c r="M27" i="7" s="1"/>
  <c r="K19" i="5"/>
  <c r="M28" i="6"/>
  <c r="M27" i="6" s="1"/>
  <c r="K67" i="5"/>
  <c r="M28" i="4"/>
  <c r="M27" i="4" s="1"/>
  <c r="H69" i="5"/>
  <c r="J21" i="5"/>
  <c r="M17" i="6"/>
  <c r="M17" i="4"/>
  <c r="M65" i="4"/>
  <c r="M44" i="4"/>
  <c r="M43" i="4" s="1"/>
  <c r="N17" i="3"/>
  <c r="N28" i="3"/>
  <c r="N27" i="3" s="1"/>
  <c r="E16" i="3"/>
  <c r="N21" i="3"/>
  <c r="N60" i="3"/>
  <c r="N65" i="3"/>
  <c r="N44" i="3"/>
  <c r="N43" i="3" s="1"/>
  <c r="M60" i="1"/>
  <c r="M44" i="1"/>
  <c r="M43" i="1" s="1"/>
  <c r="M28" i="1"/>
  <c r="M27" i="1" s="1"/>
  <c r="M21" i="1"/>
  <c r="K70" i="31" l="1"/>
  <c r="K69" i="31" s="1"/>
  <c r="K16" i="31" s="1"/>
  <c r="G69" i="31"/>
  <c r="G16" i="31" s="1"/>
  <c r="E9" i="8" s="1"/>
  <c r="K70" i="30"/>
  <c r="K69" i="30" s="1"/>
  <c r="K16" i="30" s="1"/>
  <c r="G69" i="30"/>
  <c r="G16" i="30" s="1"/>
  <c r="E12" i="8" s="1"/>
  <c r="K70" i="29"/>
  <c r="K69" i="29" s="1"/>
  <c r="K16" i="29" s="1"/>
  <c r="G69" i="29"/>
  <c r="G16" i="29" s="1"/>
  <c r="E10" i="8" s="1"/>
  <c r="M16" i="9"/>
  <c r="C11" i="9" s="1"/>
  <c r="M16" i="10"/>
  <c r="C11" i="10" s="1"/>
  <c r="M16" i="11"/>
  <c r="C11" i="11" s="1"/>
  <c r="M16" i="12"/>
  <c r="C11" i="12" s="1"/>
  <c r="H16" i="5"/>
  <c r="F13" i="8" s="1"/>
  <c r="K18" i="5"/>
  <c r="K17" i="5" s="1"/>
  <c r="G17" i="5"/>
  <c r="K66" i="5"/>
  <c r="K65" i="5" s="1"/>
  <c r="G65" i="5"/>
  <c r="J60" i="5"/>
  <c r="J65" i="5"/>
  <c r="J17" i="5"/>
  <c r="M60" i="7"/>
  <c r="M16" i="7" s="1"/>
  <c r="C11" i="7" s="1"/>
  <c r="K61" i="5"/>
  <c r="K60" i="5" s="1"/>
  <c r="M60" i="6"/>
  <c r="M16" i="6" s="1"/>
  <c r="C11" i="6" s="1"/>
  <c r="M17" i="1"/>
  <c r="K28" i="5"/>
  <c r="K27" i="5" s="1"/>
  <c r="K23" i="5"/>
  <c r="K21" i="5" s="1"/>
  <c r="M21" i="4"/>
  <c r="M16" i="4" s="1"/>
  <c r="C11" i="4" s="1"/>
  <c r="E16" i="5"/>
  <c r="K45" i="5"/>
  <c r="K44" i="5" s="1"/>
  <c r="K43" i="5" s="1"/>
  <c r="N16" i="3"/>
  <c r="C11" i="3" s="1"/>
  <c r="C11" i="31" l="1"/>
  <c r="I9" i="8"/>
  <c r="J9" i="8" s="1"/>
  <c r="C11" i="30"/>
  <c r="I12" i="8"/>
  <c r="J12" i="8" s="1"/>
  <c r="C11" i="29"/>
  <c r="I10" i="8"/>
  <c r="J10" i="8" s="1"/>
  <c r="J16" i="5"/>
  <c r="H13" i="8" s="1"/>
  <c r="K70" i="5"/>
  <c r="K69" i="5" s="1"/>
  <c r="K16" i="5" s="1"/>
  <c r="I69" i="5"/>
  <c r="I16" i="5" s="1"/>
  <c r="G13" i="8" s="1"/>
  <c r="G16" i="5"/>
  <c r="E13" i="8" s="1"/>
  <c r="C11" i="5" l="1"/>
  <c r="I13" i="8"/>
  <c r="J13" i="8"/>
  <c r="M16" i="1"/>
  <c r="C11" i="1" s="1"/>
</calcChain>
</file>

<file path=xl/sharedStrings.xml><?xml version="1.0" encoding="utf-8"?>
<sst xmlns="http://schemas.openxmlformats.org/spreadsheetml/2006/main" count="4285" uniqueCount="241">
  <si>
    <t>DANISWARA GROUP</t>
  </si>
  <si>
    <t>NAMA</t>
  </si>
  <si>
    <t>NO.</t>
  </si>
  <si>
    <t>KATEGORI</t>
  </si>
  <si>
    <t>PENGALAMAN</t>
  </si>
  <si>
    <t>Pengalaman di dalam Daniswara Group</t>
  </si>
  <si>
    <t>-</t>
  </si>
  <si>
    <t>Pengalaman di luar Daniswara Group</t>
  </si>
  <si>
    <t>PENGALAMAN (jika ada)</t>
  </si>
  <si>
    <t>ADMINISTRASI</t>
  </si>
  <si>
    <t>SIM A (utk jabatan di Divisi Operasi)</t>
  </si>
  <si>
    <t>SIM C</t>
  </si>
  <si>
    <t>Identitas (KTP &amp; KK)</t>
  </si>
  <si>
    <t>NPWP</t>
  </si>
  <si>
    <t>ADA</t>
  </si>
  <si>
    <t>TIDAK</t>
  </si>
  <si>
    <t>V</t>
  </si>
  <si>
    <t>HASIL</t>
  </si>
  <si>
    <t>CHECK</t>
  </si>
  <si>
    <t>BOBOT</t>
  </si>
  <si>
    <t>POSISI PELAMAR</t>
  </si>
  <si>
    <t>HARD SKILL</t>
  </si>
  <si>
    <t>Keuangan</t>
  </si>
  <si>
    <t>Busdev &amp; HR</t>
  </si>
  <si>
    <t>SOFT SKILL</t>
  </si>
  <si>
    <t>Staff</t>
  </si>
  <si>
    <t>Supervisor</t>
  </si>
  <si>
    <t>Manager</t>
  </si>
  <si>
    <t>BUDGET SALARY</t>
  </si>
  <si>
    <t>:</t>
  </si>
  <si>
    <t>DENY FERDIANSYAH</t>
  </si>
  <si>
    <t>STAFF OPERASI</t>
  </si>
  <si>
    <t>PENEMPATAN</t>
  </si>
  <si>
    <t>IKN - KALIMANTAN TIMUR</t>
  </si>
  <si>
    <t>DIVISI</t>
  </si>
  <si>
    <t>OPERASI</t>
  </si>
  <si>
    <t>Skill Mengemudi</t>
  </si>
  <si>
    <t>PENILAIAN</t>
  </si>
  <si>
    <t>PENILAI</t>
  </si>
  <si>
    <t>SK</t>
  </si>
  <si>
    <t>K</t>
  </si>
  <si>
    <t>R</t>
  </si>
  <si>
    <t>B</t>
  </si>
  <si>
    <t>SB</t>
  </si>
  <si>
    <t>Skill Akuntansi &amp; Input Data</t>
  </si>
  <si>
    <t>Flow Administrasi Logistik</t>
  </si>
  <si>
    <t>PSIKOLOGI INTERVIEW</t>
  </si>
  <si>
    <t>Inisiatif</t>
  </si>
  <si>
    <t>SALARY &amp; PROSPEKTUS KARIR</t>
  </si>
  <si>
    <t>Pertanyaan Spesifik User</t>
  </si>
  <si>
    <t>Microsoft Office</t>
  </si>
  <si>
    <t>Operasi / Logistik</t>
  </si>
  <si>
    <t>Pengalaman Kreatif</t>
  </si>
  <si>
    <t>Organisasi Perusahaan &amp; Lembaga</t>
  </si>
  <si>
    <t>Kepemimpinan</t>
  </si>
  <si>
    <t>Patuh pada Peraturan</t>
  </si>
  <si>
    <t>Problem Solver</t>
  </si>
  <si>
    <t>Inovasi</t>
  </si>
  <si>
    <t>Komunikasi</t>
  </si>
  <si>
    <t>Tujuan Karir</t>
  </si>
  <si>
    <t>Ekspektasi Salary (Mengukur Budget &amp; Skill)</t>
  </si>
  <si>
    <t>KETERANGAN</t>
  </si>
  <si>
    <t>ANGGY PERMANA PUTRA</t>
  </si>
  <si>
    <t>Pengetahuan terkait logistik</t>
  </si>
  <si>
    <t>Pengalaman di Bongkar Muat</t>
  </si>
  <si>
    <t>GRAND TOTAL PENILAIAN</t>
  </si>
  <si>
    <t>A</t>
  </si>
  <si>
    <t>HASIL PENILAIAN</t>
  </si>
  <si>
    <t>HR</t>
  </si>
  <si>
    <t>SANGAT KURANG</t>
  </si>
  <si>
    <t>KURANG</t>
  </si>
  <si>
    <t>RATA-RATA</t>
  </si>
  <si>
    <t>BAIK</t>
  </si>
  <si>
    <t>SANGAT BAIK</t>
  </si>
  <si>
    <t>PERTANYAAN</t>
  </si>
  <si>
    <t>Jika tidak, apakah sudah ada pengalaman sejenis di luar Daniswara?</t>
  </si>
  <si>
    <t>Apakah sudah memiliki SIM A?</t>
  </si>
  <si>
    <t>Apakah sudah memiliki SIM C?</t>
  </si>
  <si>
    <t>Apakah sudah Memiliki NPWP?</t>
  </si>
  <si>
    <t>Ceritakan yang anda ketahui terkait dengan logistik?</t>
  </si>
  <si>
    <t>Apakah memiliki pengalaman terkait bongkar muat?sedalam apa?</t>
  </si>
  <si>
    <t>Bagaimana pandangan anda terkait perusahaan dan aturan yang dapat berubah ubah sesuai arah perusahaan?</t>
  </si>
  <si>
    <t>Jika ada hal-hal yang kiranya belum diatur oleh perusahaan atau belum dapat arahan oleh atasan, apa yang biasanya anda lakukan?</t>
  </si>
  <si>
    <t>RANGE 4 JT - 4,8 JT (ALL IN - IKN)</t>
  </si>
  <si>
    <t>Coba ceritakan pengalaman / keahlian dalam mengemudi mobil angkut/logistik?</t>
  </si>
  <si>
    <t>Menurut anda, berapa ekspektasi salary/gaji yang anda inginkan? Bagaimana jika perusahaan belum memenuhinya?</t>
  </si>
  <si>
    <t>Sejauh yang anda tahu tentang Daniswara, apa tujuan anda berkarir/berkarya bersama Daniswara? Apa ada target posisi yang anda inginkan?</t>
  </si>
  <si>
    <t>Jika terjadi suatu diskusi dalam group/kelompok yang belum menemukan titik temu, apa yang akan anda lakukan?</t>
  </si>
  <si>
    <t>URIP MUKHTAR</t>
  </si>
  <si>
    <t>Apakah ada Pengalaman di Daniswara Group? Bagaimana pandangan anda terkait Daniswara Group?</t>
  </si>
  <si>
    <t>Apakah ada Identitas Diri KTP &amp; KK?</t>
  </si>
  <si>
    <t>(HR)</t>
  </si>
  <si>
    <t>(USER)</t>
  </si>
  <si>
    <t>USER-1</t>
  </si>
  <si>
    <t>USER-2</t>
  </si>
  <si>
    <t>Antusiasme / Keinginan bergabung</t>
  </si>
  <si>
    <t>MANAGER</t>
  </si>
  <si>
    <t>C</t>
  </si>
  <si>
    <t>D</t>
  </si>
  <si>
    <t>E</t>
  </si>
  <si>
    <t>F</t>
  </si>
  <si>
    <t>G</t>
  </si>
  <si>
    <t>A100</t>
  </si>
  <si>
    <t>A200</t>
  </si>
  <si>
    <t>B100</t>
  </si>
  <si>
    <t>B200</t>
  </si>
  <si>
    <t>B300</t>
  </si>
  <si>
    <t>B400</t>
  </si>
  <si>
    <t>C100</t>
  </si>
  <si>
    <t>C110</t>
  </si>
  <si>
    <t>C120</t>
  </si>
  <si>
    <t>C130</t>
  </si>
  <si>
    <t>C140</t>
  </si>
  <si>
    <t>D100</t>
  </si>
  <si>
    <t>D110</t>
  </si>
  <si>
    <t>D120</t>
  </si>
  <si>
    <t>D130</t>
  </si>
  <si>
    <t>D140</t>
  </si>
  <si>
    <t>E100</t>
  </si>
  <si>
    <t>E200</t>
  </si>
  <si>
    <t>E300</t>
  </si>
  <si>
    <t>F100</t>
  </si>
  <si>
    <t>F200</t>
  </si>
  <si>
    <t>G100</t>
  </si>
  <si>
    <t>KODE ACC</t>
  </si>
  <si>
    <t>FORM PENILAIAN PEGAWAI &amp; CALON PEGAWAI</t>
  </si>
  <si>
    <t>NAMA PERSONIL</t>
  </si>
  <si>
    <t>JABATAN / CALON POSISI</t>
  </si>
  <si>
    <t>DIAN</t>
  </si>
  <si>
    <t>SADAM</t>
  </si>
  <si>
    <t>TAUFIK HIDAYATULLAH</t>
  </si>
  <si>
    <t>STAFF OPERASI - IKN</t>
  </si>
  <si>
    <t>STAFF OPERASI - DKI</t>
  </si>
  <si>
    <t>REKAP HASIL PENILAIAN PEGAWAI &amp; CALON PEGAWAI</t>
  </si>
  <si>
    <t>ADD USER QUESTION</t>
  </si>
  <si>
    <t>Adaptif</t>
  </si>
  <si>
    <t>Coba ceritakan pengalaman anda terkait dengan berada dalam lingkungan yang baru / hal yang baru?</t>
  </si>
  <si>
    <t>Determinasi thd tekanan</t>
  </si>
  <si>
    <t>Patuh pada Peraturan / Commitment</t>
  </si>
  <si>
    <t>Bagaimana pandangan anda jika anda dituntut pada pekerjaan diluar dari waktu normal dalam bekerja?</t>
  </si>
  <si>
    <t>CATATAN</t>
  </si>
  <si>
    <t>WAHYU MULYANA PUNGKI</t>
  </si>
  <si>
    <t>MUKHLIS ARIEF S</t>
  </si>
  <si>
    <t>Bagaimana hubungan kerjasama antar sesama pegawai / organisasi / kelompok?(jika memiliki pengalaman kerja)</t>
  </si>
  <si>
    <t>Apa yang anda pikirkan setelah mendengar / mengetahui Daniswara membutuhkan personil baru di posisi ini?</t>
  </si>
  <si>
    <t>DENY F</t>
  </si>
  <si>
    <t>DENY</t>
  </si>
  <si>
    <t>Coba ceritakan yang anda ketahui tentang alur administrasi logistik? Dan kaitannya dengan Ms. Office</t>
  </si>
  <si>
    <t>DIAN YUSUF</t>
  </si>
  <si>
    <t xml:space="preserve">IMAN </t>
  </si>
  <si>
    <t>DKI - JABODETABEK</t>
  </si>
  <si>
    <t>RANGE 2,8 - 3 JT</t>
  </si>
  <si>
    <t>TAUFIK</t>
  </si>
  <si>
    <t>DI ATAS 3 JT</t>
  </si>
  <si>
    <t>Jika dalam 1 team terjadi perselisihan,apa yang akan lakukan? Dan Jika terjadi kendala di lapangan, apa yang akan anda lakukan?</t>
  </si>
  <si>
    <t>Akan segera dibuat</t>
  </si>
  <si>
    <t xml:space="preserve">Akan dibuat </t>
  </si>
  <si>
    <t>Akan dibuat</t>
  </si>
  <si>
    <t>DENY f</t>
  </si>
  <si>
    <t>AKAN DIBUAT</t>
  </si>
  <si>
    <t>&gt;3JT</t>
  </si>
  <si>
    <t>&gt;3 JT</t>
  </si>
  <si>
    <t>IMAN</t>
  </si>
  <si>
    <t>RANGE 5JT</t>
  </si>
  <si>
    <t>&gt;5</t>
  </si>
  <si>
    <t>*PROSES DIBUAT JIKA DITERIMA</t>
  </si>
  <si>
    <t>MENGIKUTI PERUSAHAAN</t>
  </si>
  <si>
    <t>AKAN DI BUAT</t>
  </si>
  <si>
    <t>BREAFING</t>
  </si>
  <si>
    <t>DKI</t>
  </si>
  <si>
    <t>RANGE 2.5 - 3JT</t>
  </si>
  <si>
    <t>DKI - IKN</t>
  </si>
  <si>
    <t>%</t>
  </si>
  <si>
    <t>DI ATAS 3 JUTA</t>
  </si>
  <si>
    <t>5 JUTAAN</t>
  </si>
  <si>
    <t>IKN - KALTIM / PUSAT DKI</t>
  </si>
  <si>
    <t>3.000.000 +</t>
  </si>
  <si>
    <t>MUCHLIS ARIF S</t>
  </si>
  <si>
    <t>PAKET/KURIR NINJA</t>
  </si>
  <si>
    <t xml:space="preserve">MANUAL </t>
  </si>
  <si>
    <t>PENGIRIMAN BARANG</t>
  </si>
  <si>
    <t>TOKO KE MOBIL</t>
  </si>
  <si>
    <t xml:space="preserve">MENGUSULKAN PERTAMA BREAK &amp; MEMULAI KEMBALI </t>
  </si>
  <si>
    <t xml:space="preserve">FLEKSIBEL JIKA FEEDBACK NYA  BAIK </t>
  </si>
  <si>
    <t>TETAP MENGERJAKAN PEKERJAAN YG BELUM SELESAI</t>
  </si>
  <si>
    <t>MELEBIHI UMR CIREBON - DAN NEGO GAJI</t>
  </si>
  <si>
    <t>URIP</t>
  </si>
  <si>
    <t>DIKARNAKAN INI 1 TIM DAN ATAP (MESS &amp; KANTOR) BAGAIMANA JIKA ADA PERSELISIHAN)</t>
  </si>
  <si>
    <t xml:space="preserve">MENCARI TITIK TENGAH </t>
  </si>
  <si>
    <t>WAHYU</t>
  </si>
  <si>
    <t>JIKA NANTI BERGABUNG DENGAN PENGALAMAN YG DIPUNYA, KENDALA DI PERJALAAN</t>
  </si>
  <si>
    <t>REPORT KEATASAN &amp; PENERIMA DULU JIKA TIDAK BISA DI HANDLE SENDIRI</t>
  </si>
  <si>
    <t xml:space="preserve">IKN - KALTIM </t>
  </si>
  <si>
    <t>5.000.000 +</t>
  </si>
  <si>
    <t>TB. CMB</t>
  </si>
  <si>
    <t>ENGKEL</t>
  </si>
  <si>
    <t>TERAKHIR PEGANG MS. OFFICE 2021 (TIGA RODA SEMEN CURAH)</t>
  </si>
  <si>
    <t>BIASA KIRIM SENDIRI DARI TOKO BANGUNAN</t>
  </si>
  <si>
    <t>KEBINGUNGAN</t>
  </si>
  <si>
    <t>SELAMA KOMUNIKASI NYA BAIK TIDAK ADA MASALAH</t>
  </si>
  <si>
    <t>JIKA PERATURAN NYA BAIK BISA DITERIMA</t>
  </si>
  <si>
    <t>TIDAK MASALAH KIRIM MALAM (MENYADARI TUGAS SUPIR)</t>
  </si>
  <si>
    <t>BUTUH PEKERJAAN DAN SIAP DI TEMPATKAN DIMANAPUN</t>
  </si>
  <si>
    <t>NUNGGU ARAHAN ATASAN</t>
  </si>
  <si>
    <t>SALARY SEBELUM NYA 4JT</t>
  </si>
  <si>
    <t>DI KOMUNIKASI APA MASALAH NYA, JIKA TIDAK ADA TITIK TEMU KONSULTASI DENGAN KANTOR YG LEBIH WEWENANG</t>
  </si>
  <si>
    <t>JIKA NANTI BERGABUNG DENGAN PENGALAMAN YG DIPUNYA, KENDALA KENDARAAN DI PERJALAAN</t>
  </si>
  <si>
    <t>JIKA BISA DI PERBAIKI SENDIRI LANGSUNG DI KERJAKAN, JIKA TIDAK BISA HUBUNGI ORANG KANTOR</t>
  </si>
  <si>
    <t>DENNY FERDIANSYAH</t>
  </si>
  <si>
    <t>SEGERA DIBUATKAN</t>
  </si>
  <si>
    <t>JALAN PENDEK DI AREA KERJA BATU ALAM</t>
  </si>
  <si>
    <t xml:space="preserve"> KURANG DI MS. OFFICE</t>
  </si>
  <si>
    <t>KASIH JEDA UNTUK BERPIKIR DAN MENGUSULKAN PIKIRAN SENDIRI</t>
  </si>
  <si>
    <t>MENGIKUTI BERUBAHAN KARNA PASTI YG TERBAIK</t>
  </si>
  <si>
    <t>KORDINASI DENGAN TEAM LAP DAN KANTOR &amp; JIKA KEBUTUHAN NYA URGENT BISA LANGSUNG HUB SEWA ARMADA</t>
  </si>
  <si>
    <t>ADA TAPI MATI, JIKA DITERIMA SIAP DI PERPANJANG</t>
  </si>
  <si>
    <t>SUDAH TAHU MEDAN DAN TERUJI</t>
  </si>
  <si>
    <t>SUDAH LAMA TIDAK PEGANG MS. OFFICE</t>
  </si>
  <si>
    <t>MENGAJAK VOTING</t>
  </si>
  <si>
    <t>BERUSAHA MENCARI SOLUSI TERLEBIH DAHULU JIKA ADA KENDALA</t>
  </si>
  <si>
    <t>MENGIKUTI KEBIJAKAN PERUSAHAAN</t>
  </si>
  <si>
    <t>TIDAK MASALAH JIKA DI HARUSKAN</t>
  </si>
  <si>
    <t>DIBICARAKAN BAIK2 DENGAH PENENGAH LEADER DAN MECARI JALAN TERBAIK</t>
  </si>
  <si>
    <t>MENCARI SOLUSI KENDALA TERSEBUT DAN KOMUNIKASI DENGAN TIM</t>
  </si>
  <si>
    <t>PUSAT DKI</t>
  </si>
  <si>
    <t>ADA TAPI MATI, SIAP DI BUAT</t>
  </si>
  <si>
    <t>SUDAH TERUJI DI IKN</t>
  </si>
  <si>
    <t>KURANG LANCAR MS. OFFICE</t>
  </si>
  <si>
    <t>MEMULAI DISKUSI BERSAMA SAMPAI MENEMUKAN TITIK TEMU</t>
  </si>
  <si>
    <t>RELATIF SERING DAN TERSELESAIKAN SEMUA</t>
  </si>
  <si>
    <t>TIDAK MASALAH JIKA TIDAK MEMBERATKAN KARYAWAN</t>
  </si>
  <si>
    <t>SIAP KIRIM MALAM JIKA URGENT DAN ADA YG MENERIMA DI LOKASI</t>
  </si>
  <si>
    <t>MENGIKUTI PERUSAHAN</t>
  </si>
  <si>
    <t>ADA KEINGINAN UNTUK NAIK JABATAN</t>
  </si>
  <si>
    <t>KOMUNIKASI DENGAN YG BERSELISIH</t>
  </si>
  <si>
    <t>KOMUNIKASI DENGAN TEAM YG BERANGKAT KIRIM DAN MENCOBA CARI SOLUSI / MEMPERBAIKI JIKA TIDAK BISA KORDINASI DENGAN ATASAN LANGSUNG</t>
  </si>
  <si>
    <t>USER-DJP</t>
  </si>
  <si>
    <t>USER-GAS</t>
  </si>
  <si>
    <t>SIM A &amp; C Belum ada</t>
  </si>
  <si>
    <t>SIM A Belum ada</t>
  </si>
  <si>
    <t>SIM C Belum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</si>
</sst>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6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3" fontId="0" fillId="0" borderId="0" xfId="1" applyFont="1" applyAlignment="1">
      <alignment horizontal="center" vertical="center"/>
    </xf>
    <xf numFmtId="10" fontId="0" fillId="0" borderId="0" xfId="2" applyNumberFormat="1" applyFont="1"/>
    <xf numFmtId="10" fontId="2" fillId="0" borderId="0" xfId="2" applyNumberFormat="1" applyFont="1"/>
    <xf numFmtId="0" fontId="0" fillId="0" borderId="0" xfId="0" applyAlignment="1">
      <alignment horizontal="center" vertical="center"/>
    </xf>
    <xf numFmtId="43" fontId="2" fillId="0" borderId="3" xfId="1" applyFont="1" applyBorder="1" applyAlignment="1">
      <alignment horizontal="center" vertical="center"/>
    </xf>
    <xf numFmtId="10" fontId="0" fillId="0" borderId="3" xfId="2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/>
    <xf numFmtId="0" fontId="0" fillId="0" borderId="3" xfId="0" applyBorder="1" applyAlignment="1">
      <alignment horizontal="center"/>
    </xf>
    <xf numFmtId="0" fontId="0" fillId="0" borderId="3" xfId="0" applyBorder="1"/>
    <xf numFmtId="43" fontId="0" fillId="0" borderId="3" xfId="1" applyFont="1" applyBorder="1" applyAlignment="1">
      <alignment horizontal="center" vertical="center"/>
    </xf>
    <xf numFmtId="10" fontId="0" fillId="0" borderId="3" xfId="2" applyNumberFormat="1" applyFont="1" applyBorder="1"/>
    <xf numFmtId="0" fontId="0" fillId="0" borderId="3" xfId="0" quotePrefix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43" fontId="0" fillId="0" borderId="4" xfId="1" applyFont="1" applyBorder="1" applyAlignment="1">
      <alignment horizontal="center" vertical="center"/>
    </xf>
    <xf numFmtId="10" fontId="0" fillId="0" borderId="4" xfId="2" applyNumberFormat="1" applyFont="1" applyBorder="1"/>
    <xf numFmtId="0" fontId="0" fillId="0" borderId="4" xfId="0" applyBorder="1" applyAlignment="1">
      <alignment horizontal="center" vertical="center"/>
    </xf>
    <xf numFmtId="43" fontId="2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0" fontId="0" fillId="0" borderId="0" xfId="2" applyNumberFormat="1" applyFont="1" applyAlignment="1">
      <alignment horizontal="center"/>
    </xf>
    <xf numFmtId="10" fontId="0" fillId="0" borderId="3" xfId="2" applyNumberFormat="1" applyFont="1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43" fontId="0" fillId="0" borderId="3" xfId="1" applyFont="1" applyBorder="1" applyAlignment="1">
      <alignment horizontal="left" vertical="center"/>
    </xf>
    <xf numFmtId="43" fontId="0" fillId="0" borderId="4" xfId="1" applyFont="1" applyBorder="1" applyAlignment="1">
      <alignment horizontal="left" vertical="center"/>
    </xf>
    <xf numFmtId="43" fontId="0" fillId="0" borderId="3" xfId="1" applyFont="1" applyBorder="1" applyAlignment="1">
      <alignment horizontal="left" vertical="center" wrapText="1"/>
    </xf>
    <xf numFmtId="43" fontId="0" fillId="0" borderId="3" xfId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/>
    <xf numFmtId="43" fontId="2" fillId="2" borderId="3" xfId="1" applyFont="1" applyFill="1" applyBorder="1" applyAlignment="1">
      <alignment horizontal="left" vertical="center"/>
    </xf>
    <xf numFmtId="10" fontId="2" fillId="2" borderId="3" xfId="2" applyNumberFormat="1" applyFont="1" applyFill="1" applyBorder="1"/>
    <xf numFmtId="10" fontId="2" fillId="2" borderId="3" xfId="2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43" fontId="2" fillId="2" borderId="3" xfId="1" applyFont="1" applyFill="1" applyBorder="1"/>
    <xf numFmtId="0" fontId="2" fillId="2" borderId="1" xfId="0" applyFont="1" applyFill="1" applyBorder="1" applyAlignment="1">
      <alignment horizontal="center" vertical="center"/>
    </xf>
    <xf numFmtId="10" fontId="2" fillId="2" borderId="1" xfId="2" applyNumberFormat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10" fontId="0" fillId="2" borderId="1" xfId="2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0" fontId="0" fillId="0" borderId="3" xfId="2" applyNumberFormat="1" applyFont="1" applyBorder="1" applyAlignment="1">
      <alignment vertical="center" wrapText="1"/>
    </xf>
    <xf numFmtId="10" fontId="0" fillId="0" borderId="3" xfId="2" applyNumberFormat="1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/>
    <xf numFmtId="43" fontId="2" fillId="3" borderId="3" xfId="1" applyFont="1" applyFill="1" applyBorder="1" applyAlignment="1">
      <alignment horizontal="left" vertical="center"/>
    </xf>
    <xf numFmtId="10" fontId="2" fillId="3" borderId="3" xfId="2" applyNumberFormat="1" applyFont="1" applyFill="1" applyBorder="1"/>
    <xf numFmtId="10" fontId="2" fillId="3" borderId="3" xfId="2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43" fontId="2" fillId="3" borderId="3" xfId="1" applyFont="1" applyFill="1" applyBorder="1" applyAlignment="1">
      <alignment horizontal="center" vertical="center"/>
    </xf>
    <xf numFmtId="0" fontId="0" fillId="3" borderId="3" xfId="0" applyFill="1" applyBorder="1"/>
    <xf numFmtId="43" fontId="0" fillId="3" borderId="3" xfId="1" applyFont="1" applyFill="1" applyBorder="1" applyAlignment="1">
      <alignment horizontal="left" vertical="center"/>
    </xf>
    <xf numFmtId="10" fontId="0" fillId="3" borderId="3" xfId="2" applyNumberFormat="1" applyFont="1" applyFill="1" applyBorder="1"/>
    <xf numFmtId="10" fontId="0" fillId="3" borderId="3" xfId="2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43" fontId="0" fillId="3" borderId="3" xfId="1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3" xfId="0" applyFont="1" applyFill="1" applyBorder="1" applyAlignment="1">
      <alignment vertical="center"/>
    </xf>
    <xf numFmtId="43" fontId="2" fillId="2" borderId="4" xfId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2" fillId="2" borderId="1" xfId="2" applyNumberFormat="1" applyFont="1" applyFill="1" applyBorder="1" applyAlignment="1">
      <alignment horizontal="center" vertical="center"/>
    </xf>
    <xf numFmtId="10" fontId="0" fillId="2" borderId="1" xfId="2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43" fontId="2" fillId="2" borderId="2" xfId="1" applyFont="1" applyFill="1" applyBorder="1" applyAlignment="1">
      <alignment horizontal="center" vertical="center"/>
    </xf>
    <xf numFmtId="43" fontId="2" fillId="2" borderId="4" xfId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0" fontId="2" fillId="2" borderId="5" xfId="2" applyNumberFormat="1" applyFont="1" applyFill="1" applyBorder="1" applyAlignment="1">
      <alignment horizontal="center" vertical="center"/>
    </xf>
    <xf numFmtId="10" fontId="2" fillId="2" borderId="6" xfId="2" applyNumberFormat="1" applyFont="1" applyFill="1" applyBorder="1" applyAlignment="1">
      <alignment horizontal="center" vertical="center"/>
    </xf>
    <xf numFmtId="10" fontId="0" fillId="0" borderId="0" xfId="4" applyNumberFormat="1" applyFont="1"/>
    <xf numFmtId="43" fontId="0" fillId="0" borderId="0" xfId="5" applyFont="1" applyAlignment="1">
      <alignment horizontal="center" vertical="center"/>
    </xf>
    <xf numFmtId="10" fontId="0" fillId="4" borderId="1" xfId="4" applyNumberFormat="1" applyFont="1" applyFill="1" applyBorder="1" applyAlignment="1">
      <alignment horizontal="center" vertical="center"/>
    </xf>
    <xf numFmtId="10" fontId="0" fillId="4" borderId="1" xfId="4" applyNumberFormat="1" applyFont="1" applyFill="1" applyBorder="1" applyAlignment="1">
      <alignment horizontal="center" vertical="center"/>
    </xf>
    <xf numFmtId="10" fontId="0" fillId="0" borderId="3" xfId="4" applyNumberFormat="1" applyFont="1" applyBorder="1" applyAlignment="1">
      <alignment horizontal="center" vertical="center"/>
    </xf>
    <xf numFmtId="10" fontId="0" fillId="0" borderId="3" xfId="4" applyNumberFormat="1" applyFont="1" applyBorder="1" applyAlignment="1">
      <alignment vertical="center" wrapText="1"/>
    </xf>
    <xf numFmtId="10" fontId="0" fillId="0" borderId="3" xfId="4" applyNumberFormat="1" applyFont="1" applyBorder="1"/>
    <xf numFmtId="43" fontId="0" fillId="0" borderId="3" xfId="5" applyFont="1" applyBorder="1" applyAlignment="1">
      <alignment horizontal="center" vertical="center"/>
    </xf>
    <xf numFmtId="10" fontId="0" fillId="5" borderId="3" xfId="4" applyNumberFormat="1" applyFont="1" applyFill="1" applyBorder="1"/>
    <xf numFmtId="43" fontId="0" fillId="5" borderId="3" xfId="5" applyFont="1" applyFill="1" applyBorder="1" applyAlignment="1">
      <alignment horizontal="center" vertical="center"/>
    </xf>
    <xf numFmtId="10" fontId="0" fillId="0" borderId="4" xfId="4" applyNumberFormat="1" applyFont="1" applyBorder="1"/>
    <xf numFmtId="43" fontId="0" fillId="0" borderId="4" xfId="5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3" xfId="0" applyFont="1" applyFill="1" applyBorder="1"/>
    <xf numFmtId="0" fontId="0" fillId="0" borderId="0" xfId="0" applyFont="1" applyAlignment="1">
      <alignment horizontal="center" vertical="center" wrapText="1"/>
    </xf>
    <xf numFmtId="0" fontId="0" fillId="0" borderId="3" xfId="0" quotePrefix="1" applyFont="1" applyBorder="1" applyAlignment="1">
      <alignment horizontal="center"/>
    </xf>
    <xf numFmtId="0" fontId="0" fillId="0" borderId="3" xfId="0" applyFont="1" applyBorder="1" applyAlignment="1">
      <alignment vertical="center" wrapText="1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/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2" fillId="0" borderId="0" xfId="3" applyFont="1"/>
    <xf numFmtId="0" fontId="0" fillId="0" borderId="0" xfId="3" applyFont="1" applyAlignment="1">
      <alignment horizontal="center"/>
    </xf>
    <xf numFmtId="0" fontId="0" fillId="0" borderId="0" xfId="3" applyFont="1"/>
    <xf numFmtId="0" fontId="0" fillId="0" borderId="0" xfId="3" applyFont="1" applyAlignment="1">
      <alignment horizontal="center" vertical="center"/>
    </xf>
    <xf numFmtId="10" fontId="2" fillId="0" borderId="0" xfId="4" applyNumberFormat="1" applyFont="1"/>
    <xf numFmtId="43" fontId="2" fillId="0" borderId="0" xfId="3" applyNumberFormat="1" applyFont="1" applyAlignment="1">
      <alignment horizontal="center"/>
    </xf>
    <xf numFmtId="0" fontId="2" fillId="0" borderId="8" xfId="3" applyFont="1" applyBorder="1" applyAlignment="1">
      <alignment horizontal="center" vertical="center"/>
    </xf>
    <xf numFmtId="0" fontId="2" fillId="4" borderId="1" xfId="3" applyFont="1" applyFill="1" applyBorder="1" applyAlignment="1">
      <alignment horizontal="center" vertical="center"/>
    </xf>
    <xf numFmtId="10" fontId="2" fillId="4" borderId="1" xfId="4" applyNumberFormat="1" applyFont="1" applyFill="1" applyBorder="1" applyAlignment="1">
      <alignment horizontal="center" vertical="center"/>
    </xf>
    <xf numFmtId="10" fontId="2" fillId="4" borderId="1" xfId="4" applyNumberFormat="1" applyFont="1" applyFill="1" applyBorder="1" applyAlignment="1">
      <alignment horizontal="center" vertical="center"/>
    </xf>
    <xf numFmtId="43" fontId="2" fillId="4" borderId="1" xfId="5" applyFont="1" applyFill="1" applyBorder="1" applyAlignment="1">
      <alignment horizontal="center" vertical="center"/>
    </xf>
    <xf numFmtId="0" fontId="2" fillId="4" borderId="1" xfId="3" applyFont="1" applyFill="1" applyBorder="1" applyAlignment="1">
      <alignment horizontal="center" vertical="center" wrapText="1"/>
    </xf>
    <xf numFmtId="0" fontId="0" fillId="4" borderId="1" xfId="3" applyFont="1" applyFill="1" applyBorder="1" applyAlignment="1">
      <alignment horizontal="center" vertical="center"/>
    </xf>
    <xf numFmtId="43" fontId="2" fillId="4" borderId="1" xfId="5" applyFont="1" applyFill="1" applyBorder="1" applyAlignment="1">
      <alignment horizontal="center" vertical="center"/>
    </xf>
    <xf numFmtId="0" fontId="2" fillId="4" borderId="1" xfId="3" applyFont="1" applyFill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43" fontId="2" fillId="0" borderId="3" xfId="5" applyFont="1" applyBorder="1" applyAlignment="1">
      <alignment horizontal="center" vertical="center"/>
    </xf>
    <xf numFmtId="9" fontId="2" fillId="0" borderId="3" xfId="3" applyNumberFormat="1" applyFont="1" applyBorder="1" applyAlignment="1">
      <alignment horizontal="center" vertical="center"/>
    </xf>
    <xf numFmtId="0" fontId="2" fillId="0" borderId="3" xfId="3" applyFont="1" applyBorder="1"/>
    <xf numFmtId="0" fontId="2" fillId="0" borderId="0" xfId="3" applyFont="1" applyAlignment="1">
      <alignment horizontal="center"/>
    </xf>
    <xf numFmtId="0" fontId="2" fillId="4" borderId="3" xfId="3" applyFont="1" applyFill="1" applyBorder="1" applyAlignment="1">
      <alignment horizontal="center" vertical="center"/>
    </xf>
    <xf numFmtId="0" fontId="2" fillId="4" borderId="3" xfId="3" applyFont="1" applyFill="1" applyBorder="1" applyAlignment="1">
      <alignment vertical="center"/>
    </xf>
    <xf numFmtId="43" fontId="2" fillId="4" borderId="3" xfId="5" applyFont="1" applyFill="1" applyBorder="1" applyAlignment="1">
      <alignment horizontal="center" vertical="center"/>
    </xf>
    <xf numFmtId="43" fontId="2" fillId="4" borderId="3" xfId="5" applyFont="1" applyFill="1" applyBorder="1"/>
    <xf numFmtId="0" fontId="2" fillId="4" borderId="3" xfId="3" applyFont="1" applyFill="1" applyBorder="1"/>
    <xf numFmtId="0" fontId="2" fillId="5" borderId="3" xfId="3" applyFont="1" applyFill="1" applyBorder="1" applyAlignment="1">
      <alignment horizontal="center"/>
    </xf>
    <xf numFmtId="0" fontId="2" fillId="5" borderId="3" xfId="3" applyFont="1" applyFill="1" applyBorder="1"/>
    <xf numFmtId="10" fontId="2" fillId="5" borderId="3" xfId="4" applyNumberFormat="1" applyFont="1" applyFill="1" applyBorder="1"/>
    <xf numFmtId="43" fontId="2" fillId="5" borderId="3" xfId="5" applyFont="1" applyFill="1" applyBorder="1" applyAlignment="1">
      <alignment horizontal="center" vertical="center"/>
    </xf>
    <xf numFmtId="0" fontId="0" fillId="5" borderId="3" xfId="3" applyFont="1" applyFill="1" applyBorder="1" applyAlignment="1">
      <alignment horizontal="center" vertical="center"/>
    </xf>
    <xf numFmtId="0" fontId="0" fillId="5" borderId="3" xfId="3" applyFont="1" applyFill="1" applyBorder="1"/>
    <xf numFmtId="0" fontId="0" fillId="0" borderId="0" xfId="3" applyFont="1" applyAlignment="1">
      <alignment horizontal="center" vertical="center" wrapText="1"/>
    </xf>
    <xf numFmtId="0" fontId="0" fillId="0" borderId="3" xfId="3" applyFont="1" applyBorder="1" applyAlignment="1">
      <alignment horizontal="center"/>
    </xf>
    <xf numFmtId="0" fontId="0" fillId="0" borderId="3" xfId="3" applyFont="1" applyBorder="1" applyAlignment="1">
      <alignment vertical="center" wrapText="1"/>
    </xf>
    <xf numFmtId="0" fontId="0" fillId="0" borderId="3" xfId="3" applyFont="1" applyBorder="1" applyAlignment="1">
      <alignment horizontal="center" vertical="center"/>
    </xf>
    <xf numFmtId="0" fontId="0" fillId="0" borderId="3" xfId="3" applyFont="1" applyBorder="1"/>
    <xf numFmtId="0" fontId="0" fillId="0" borderId="3" xfId="3" quotePrefix="1" applyFont="1" applyBorder="1" applyAlignment="1">
      <alignment horizontal="center"/>
    </xf>
    <xf numFmtId="0" fontId="2" fillId="5" borderId="3" xfId="3" applyFont="1" applyFill="1" applyBorder="1" applyAlignment="1">
      <alignment horizontal="center" vertical="center"/>
    </xf>
    <xf numFmtId="0" fontId="0" fillId="0" borderId="4" xfId="3" applyFont="1" applyBorder="1" applyAlignment="1">
      <alignment horizontal="center"/>
    </xf>
    <xf numFmtId="0" fontId="0" fillId="0" borderId="4" xfId="3" applyFont="1" applyBorder="1"/>
    <xf numFmtId="0" fontId="0" fillId="0" borderId="4" xfId="3" applyFont="1" applyBorder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0" fillId="0" borderId="0" xfId="3" applyFont="1" applyAlignment="1">
      <alignment horizontal="left" vertical="center"/>
    </xf>
    <xf numFmtId="0" fontId="2" fillId="0" borderId="3" xfId="3" applyFont="1" applyBorder="1" applyAlignment="1">
      <alignment horizontal="center"/>
    </xf>
    <xf numFmtId="0" fontId="2" fillId="4" borderId="3" xfId="3" applyFont="1" applyFill="1" applyBorder="1" applyAlignment="1">
      <alignment horizontal="center"/>
    </xf>
    <xf numFmtId="0" fontId="0" fillId="5" borderId="3" xfId="3" applyFont="1" applyFill="1" applyBorder="1" applyAlignment="1">
      <alignment horizontal="center"/>
    </xf>
    <xf numFmtId="0" fontId="0" fillId="0" borderId="3" xfId="0" quotePrefix="1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43" fontId="0" fillId="0" borderId="3" xfId="0" applyNumberFormat="1" applyFont="1" applyBorder="1" applyAlignment="1">
      <alignment horizontal="center" vertical="center" wrapText="1"/>
    </xf>
    <xf numFmtId="43" fontId="2" fillId="2" borderId="3" xfId="0" applyNumberFormat="1" applyFont="1" applyFill="1" applyBorder="1" applyAlignment="1">
      <alignment horizontal="center" vertical="center" wrapText="1"/>
    </xf>
    <xf numFmtId="43" fontId="2" fillId="2" borderId="3" xfId="1" applyFont="1" applyFill="1" applyBorder="1" applyAlignment="1">
      <alignment horizontal="center" vertical="center" wrapText="1"/>
    </xf>
  </cellXfs>
  <cellStyles count="6">
    <cellStyle name="Comma" xfId="1" builtinId="3"/>
    <cellStyle name="Comma 2" xfId="5" xr:uid="{9FF437B0-4DCD-4195-A792-5FED2914349E}"/>
    <cellStyle name="Normal" xfId="0" builtinId="0"/>
    <cellStyle name="Normal 2" xfId="3" xr:uid="{35187203-5FDA-4794-B652-ACF94970EF23}"/>
    <cellStyle name="Percent" xfId="2" builtinId="5"/>
    <cellStyle name="Percent 2" xfId="4" xr:uid="{6E7E9676-F1FF-41D4-A317-274BB0C371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ggy\Downloads\HR-%20WAHYU%20MULYANA%20PUNGKI.xlsx" TargetMode="External"/><Relationship Id="rId1" Type="http://schemas.openxmlformats.org/officeDocument/2006/relationships/externalLinkPath" Target="HR-%20WAHYU%20MULYANA%20PUNGKI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ggy\Downloads\FORM%20HASIL%20RECRUITMENT_URIP.xlsx" TargetMode="External"/><Relationship Id="rId1" Type="http://schemas.openxmlformats.org/officeDocument/2006/relationships/externalLinkPath" Target="FORM%20HASIL%20RECRUITMENT_URI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_pc\Downloads\FORM%20HASIL%20RECRUITMENT_XXX.xlsx" TargetMode="External"/><Relationship Id="rId1" Type="http://schemas.openxmlformats.org/officeDocument/2006/relationships/externalLinkPath" Target="FORM%20HASIL%20RECRUITMENT_XX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TANYAAN"/>
      <sheetName val="DENY F (3)"/>
      <sheetName val="DIAN"/>
      <sheetName val="SADAM (1)"/>
      <sheetName val="IMAN (2)"/>
      <sheetName val="TAUFIK H (4)"/>
    </sheetNames>
    <sheetDataSet>
      <sheetData sheetId="0">
        <row r="18">
          <cell r="A18" t="str">
            <v>A100</v>
          </cell>
          <cell r="B18">
            <v>1</v>
          </cell>
          <cell r="C18" t="str">
            <v>Pengalaman di dalam Daniswara Group</v>
          </cell>
          <cell r="D18" t="str">
            <v>Apakah ada Pengalaman di Daniswara Group? Bagaimana pandangan anda terkait Daniswara Group?</v>
          </cell>
          <cell r="E18">
            <v>0.06</v>
          </cell>
        </row>
        <row r="19">
          <cell r="A19" t="str">
            <v>A200</v>
          </cell>
          <cell r="B19">
            <v>2</v>
          </cell>
          <cell r="C19" t="str">
            <v>Pengalaman di luar Daniswara Group</v>
          </cell>
          <cell r="D19" t="str">
            <v>Jika tidak, apakah sudah ada pengalaman sejenis di luar Daniswara?</v>
          </cell>
          <cell r="E19">
            <v>0.04</v>
          </cell>
        </row>
        <row r="21">
          <cell r="B21" t="str">
            <v>B</v>
          </cell>
          <cell r="C21" t="str">
            <v>ADMINISTRASI</v>
          </cell>
          <cell r="E21">
            <v>0.05</v>
          </cell>
        </row>
        <row r="22">
          <cell r="A22" t="str">
            <v>B100</v>
          </cell>
          <cell r="B22">
            <v>1</v>
          </cell>
          <cell r="C22" t="str">
            <v>Identitas (KTP &amp; KK)</v>
          </cell>
          <cell r="D22" t="str">
            <v>Apakah ada Identitas Diri KTP &amp; KK?</v>
          </cell>
          <cell r="E22">
            <v>0.01</v>
          </cell>
        </row>
        <row r="23">
          <cell r="A23" t="str">
            <v>B200</v>
          </cell>
          <cell r="B23">
            <v>2</v>
          </cell>
          <cell r="C23" t="str">
            <v>SIM A (utk jabatan di Divisi Operasi)</v>
          </cell>
          <cell r="D23" t="str">
            <v>Apakah sudah memiliki SIM A?</v>
          </cell>
          <cell r="E23">
            <v>0.02</v>
          </cell>
        </row>
        <row r="24">
          <cell r="A24" t="str">
            <v>B300</v>
          </cell>
          <cell r="B24">
            <v>3</v>
          </cell>
          <cell r="C24" t="str">
            <v>SIM C</v>
          </cell>
          <cell r="D24" t="str">
            <v>Apakah sudah memiliki SIM C?</v>
          </cell>
          <cell r="E24">
            <v>0.01</v>
          </cell>
        </row>
        <row r="25">
          <cell r="A25" t="str">
            <v>B400</v>
          </cell>
          <cell r="B25">
            <v>4</v>
          </cell>
          <cell r="C25" t="str">
            <v>NPWP</v>
          </cell>
          <cell r="D25" t="str">
            <v>Apakah sudah Memiliki NPWP?</v>
          </cell>
          <cell r="E25">
            <v>0.01</v>
          </cell>
        </row>
        <row r="27">
          <cell r="B27" t="str">
            <v>C</v>
          </cell>
          <cell r="C27" t="str">
            <v>HARD SKILL</v>
          </cell>
          <cell r="E27">
            <v>0.35000000000000003</v>
          </cell>
        </row>
        <row r="28">
          <cell r="A28" t="str">
            <v>C100</v>
          </cell>
          <cell r="B28">
            <v>1</v>
          </cell>
          <cell r="C28" t="str">
            <v>Operasi / Logistik</v>
          </cell>
          <cell r="E28">
            <v>0.35000000000000003</v>
          </cell>
        </row>
        <row r="29">
          <cell r="A29" t="str">
            <v>C110</v>
          </cell>
          <cell r="B29" t="str">
            <v>-</v>
          </cell>
          <cell r="C29" t="str">
            <v>Skill Mengemudi</v>
          </cell>
          <cell r="D29" t="str">
            <v>Coba ceritakan pengalaman / keahlian dalam mengemudi mobil angkut/logistik?</v>
          </cell>
          <cell r="E29">
            <v>0.15</v>
          </cell>
        </row>
        <row r="30">
          <cell r="A30" t="str">
            <v>C120</v>
          </cell>
          <cell r="B30" t="str">
            <v>-</v>
          </cell>
          <cell r="C30" t="str">
            <v>Flow Administrasi Logistik</v>
          </cell>
          <cell r="D30" t="str">
            <v>Coba ceritakan yang anda ketahui tentang alur administrasi logistik? Dan kaitannya dengan Ms. Office</v>
          </cell>
          <cell r="E30">
            <v>0.1</v>
          </cell>
        </row>
        <row r="31">
          <cell r="A31" t="str">
            <v>C130</v>
          </cell>
          <cell r="B31" t="str">
            <v>-</v>
          </cell>
          <cell r="C31" t="str">
            <v>Pengetahuan terkait logistik</v>
          </cell>
          <cell r="D31" t="str">
            <v>Ceritakan yang anda ketahui terkait dengan logistik?</v>
          </cell>
          <cell r="E31">
            <v>2.5000000000000001E-2</v>
          </cell>
        </row>
        <row r="32">
          <cell r="A32" t="str">
            <v>C140</v>
          </cell>
          <cell r="B32" t="str">
            <v>-</v>
          </cell>
          <cell r="C32" t="str">
            <v>Pengalaman di Bongkar Muat</v>
          </cell>
          <cell r="D32" t="str">
            <v>Apakah memiliki pengalaman terkait bongkar muat?sedalam apa?</v>
          </cell>
          <cell r="E32">
            <v>7.4999999999999997E-2</v>
          </cell>
        </row>
        <row r="34">
          <cell r="B34">
            <v>2</v>
          </cell>
          <cell r="C34" t="str">
            <v>Keuangan</v>
          </cell>
          <cell r="E34">
            <v>0.35</v>
          </cell>
        </row>
        <row r="35">
          <cell r="B35" t="str">
            <v>-</v>
          </cell>
          <cell r="C35" t="str">
            <v>Skill Akuntansi &amp; Input Data</v>
          </cell>
          <cell r="E35">
            <v>0.15</v>
          </cell>
        </row>
        <row r="36">
          <cell r="B36" t="str">
            <v>-</v>
          </cell>
          <cell r="C36" t="str">
            <v>Microsoft Office</v>
          </cell>
          <cell r="E36">
            <v>0.2</v>
          </cell>
        </row>
        <row r="38">
          <cell r="B38">
            <v>3</v>
          </cell>
          <cell r="C38" t="str">
            <v>Busdev &amp; HR</v>
          </cell>
        </row>
        <row r="39">
          <cell r="B39" t="str">
            <v>-</v>
          </cell>
          <cell r="C39" t="str">
            <v>Pengalaman Kreatif</v>
          </cell>
        </row>
        <row r="40">
          <cell r="B40" t="str">
            <v>-</v>
          </cell>
          <cell r="C40" t="str">
            <v>Organisasi Perusahaan &amp; Lembaga</v>
          </cell>
        </row>
        <row r="41">
          <cell r="B41" t="str">
            <v>-</v>
          </cell>
        </row>
        <row r="43">
          <cell r="B43" t="str">
            <v>D</v>
          </cell>
          <cell r="C43" t="str">
            <v>SOFT SKILL</v>
          </cell>
          <cell r="E43">
            <v>0.25</v>
          </cell>
        </row>
        <row r="44">
          <cell r="A44" t="str">
            <v>D100</v>
          </cell>
          <cell r="B44">
            <v>1</v>
          </cell>
          <cell r="C44" t="str">
            <v>Staff</v>
          </cell>
          <cell r="E44">
            <v>0.25</v>
          </cell>
        </row>
        <row r="45">
          <cell r="A45" t="str">
            <v>D110</v>
          </cell>
          <cell r="B45" t="str">
            <v>-</v>
          </cell>
          <cell r="C45" t="str">
            <v>Kepemimpinan</v>
          </cell>
          <cell r="D45" t="str">
            <v>Jika terjadi suatu diskusi dalam group/kelompok yang belum menemukan titik temu, apa yang akan anda lakukan?</v>
          </cell>
          <cell r="E45">
            <v>2.5000000000000001E-2</v>
          </cell>
        </row>
        <row r="46">
          <cell r="A46" t="str">
            <v>D120</v>
          </cell>
          <cell r="B46" t="str">
            <v>-</v>
          </cell>
          <cell r="C46" t="str">
            <v>Komunikasi</v>
          </cell>
          <cell r="D46" t="str">
            <v>Bagaimana hubungan kerjasama antar sesama pegawai / organisasi / kelompok?(jika memiliki pengalaman kerja)</v>
          </cell>
          <cell r="E46">
            <v>0.1</v>
          </cell>
        </row>
        <row r="47">
          <cell r="A47" t="str">
            <v>D130</v>
          </cell>
          <cell r="B47" t="str">
            <v>-</v>
          </cell>
          <cell r="C47" t="str">
            <v>Patuh pada Peraturan / Commitment</v>
          </cell>
          <cell r="D47" t="str">
            <v>Bagaimana pandangan anda terkait perusahaan dan aturan yang dapat berubah ubah sesuai arah perusahaan?</v>
          </cell>
          <cell r="E47">
            <v>0.05</v>
          </cell>
        </row>
        <row r="48">
          <cell r="A48" t="str">
            <v>D140</v>
          </cell>
          <cell r="B48" t="str">
            <v>-</v>
          </cell>
          <cell r="C48" t="str">
            <v>Determinasi thd tekanan</v>
          </cell>
          <cell r="D48" t="str">
            <v>Bagaimana pandangan anda jika anda dituntut pada pekerjaan diluar dari waktu normal dalam bekerja?</v>
          </cell>
          <cell r="E48">
            <v>7.4999999999999997E-2</v>
          </cell>
        </row>
        <row r="50">
          <cell r="B50">
            <v>2</v>
          </cell>
          <cell r="C50" t="str">
            <v>Supervisor</v>
          </cell>
        </row>
        <row r="51">
          <cell r="B51" t="str">
            <v>-</v>
          </cell>
          <cell r="C51" t="str">
            <v>Kepemimpinan</v>
          </cell>
        </row>
        <row r="52">
          <cell r="B52" t="str">
            <v>-</v>
          </cell>
          <cell r="C52" t="str">
            <v>Patuh pada Peraturan</v>
          </cell>
        </row>
        <row r="53">
          <cell r="B53" t="str">
            <v>-</v>
          </cell>
          <cell r="C53" t="str">
            <v>Problem Solver</v>
          </cell>
        </row>
        <row r="55">
          <cell r="B55">
            <v>3</v>
          </cell>
          <cell r="C55" t="str">
            <v>Manager</v>
          </cell>
        </row>
        <row r="56">
          <cell r="B56" t="str">
            <v>-</v>
          </cell>
          <cell r="C56" t="str">
            <v>Kepemimpinan</v>
          </cell>
        </row>
        <row r="57">
          <cell r="B57" t="str">
            <v>-</v>
          </cell>
          <cell r="C57" t="str">
            <v>Problem Solver</v>
          </cell>
        </row>
        <row r="58">
          <cell r="B58" t="str">
            <v>-</v>
          </cell>
          <cell r="C58" t="str">
            <v>Inovasi</v>
          </cell>
        </row>
        <row r="60">
          <cell r="B60" t="str">
            <v>E</v>
          </cell>
          <cell r="C60" t="str">
            <v>PSIKOLOGI INTERVIEW</v>
          </cell>
          <cell r="E60">
            <v>0.15</v>
          </cell>
        </row>
        <row r="61">
          <cell r="A61" t="str">
            <v>E100</v>
          </cell>
          <cell r="B61" t="str">
            <v>-</v>
          </cell>
          <cell r="C61" t="str">
            <v>Antusiasme / Keinginan bergabung</v>
          </cell>
          <cell r="D61" t="str">
            <v>Apa yang anda pikirkan setelah mendengar / mengetahui Daniswara membutuhkan personil baru di posisi ini?</v>
          </cell>
          <cell r="E61">
            <v>7.4999999999999997E-2</v>
          </cell>
        </row>
        <row r="62">
          <cell r="A62" t="str">
            <v>E200</v>
          </cell>
          <cell r="B62" t="str">
            <v>-</v>
          </cell>
          <cell r="C62" t="str">
            <v>Inisiatif</v>
          </cell>
          <cell r="D62" t="str">
            <v>Jika ada hal-hal yang kiranya belum diatur oleh perusahaan atau belum dapat arahan oleh atasan, apa yang biasanya anda lakukan?</v>
          </cell>
          <cell r="E62">
            <v>0.05</v>
          </cell>
        </row>
        <row r="63">
          <cell r="A63" t="str">
            <v>E300</v>
          </cell>
          <cell r="B63" t="str">
            <v>-</v>
          </cell>
          <cell r="C63" t="str">
            <v>Adaptif</v>
          </cell>
          <cell r="D63" t="str">
            <v>Coba ceritakan pengalaman anda terkait dengan berada dalam lingkungan yang baru / hal yang baru?</v>
          </cell>
          <cell r="E63">
            <v>2.5000000000000001E-2</v>
          </cell>
        </row>
        <row r="65">
          <cell r="B65" t="str">
            <v>F</v>
          </cell>
          <cell r="C65" t="str">
            <v>SALARY &amp; PROSPEKTUS KARIR</v>
          </cell>
          <cell r="E65">
            <v>0.05</v>
          </cell>
        </row>
        <row r="66">
          <cell r="A66" t="str">
            <v>F100</v>
          </cell>
          <cell r="B66" t="str">
            <v>-</v>
          </cell>
          <cell r="C66" t="str">
            <v>Ekspektasi Salary (Mengukur Budget &amp; Skill)</v>
          </cell>
          <cell r="D66" t="str">
            <v>Menurut anda, berapa ekspektasi salary/gaji yang anda inginkan? Bagaimana jika perusahaan belum memenuhinya?</v>
          </cell>
          <cell r="E66">
            <v>0.04</v>
          </cell>
        </row>
        <row r="67">
          <cell r="A67" t="str">
            <v>F200</v>
          </cell>
          <cell r="B67" t="str">
            <v>-</v>
          </cell>
          <cell r="C67" t="str">
            <v>Tujuan Karir</v>
          </cell>
          <cell r="D67" t="str">
            <v>Sejauh yang anda tahu tentang Daniswara, apa tujuan anda berkarir/berkarya bersama Daniswara? Apa ada target posisi yang anda inginkan?</v>
          </cell>
          <cell r="E67">
            <v>0.01</v>
          </cell>
        </row>
        <row r="69">
          <cell r="B69" t="str">
            <v>G</v>
          </cell>
          <cell r="C69" t="str">
            <v>ADD USER QUESTION</v>
          </cell>
          <cell r="E69">
            <v>0.05</v>
          </cell>
        </row>
        <row r="70">
          <cell r="A70" t="str">
            <v>G100</v>
          </cell>
          <cell r="B70" t="str">
            <v>-</v>
          </cell>
          <cell r="C70" t="str">
            <v>Pertanyaan Spesifik User</v>
          </cell>
          <cell r="D70" t="str">
            <v>Bagaimana jika dalam proses pengiriman ada terkendala dalam perjalanan pada kendaraan, kira kira bagaimana apa yang akan anda lakukan?</v>
          </cell>
          <cell r="E70">
            <v>0.05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TANYAAN"/>
      <sheetName val="REKAP"/>
      <sheetName val="RESUME"/>
      <sheetName val="PENILAIAN-HR"/>
      <sheetName val="PENILAIAN-DENY"/>
      <sheetName val="PENILAIAN-DIAN"/>
      <sheetName val="PENILAIAN-SADAM"/>
      <sheetName val="PENILAIAN-IMAN"/>
      <sheetName val="PENILAIAN-TAUFIK"/>
      <sheetName val="PENILAIAN-MANAGER"/>
    </sheetNames>
    <sheetDataSet>
      <sheetData sheetId="0">
        <row r="18">
          <cell r="A18" t="str">
            <v>A100</v>
          </cell>
          <cell r="B18">
            <v>1</v>
          </cell>
          <cell r="C18" t="str">
            <v>Pengalaman di dalam Daniswara Group</v>
          </cell>
          <cell r="D18" t="str">
            <v>Apakah ada Pengalaman di Daniswara Group? Bagaimana pandangan anda terkait Daniswara Group?</v>
          </cell>
          <cell r="E18">
            <v>0.06</v>
          </cell>
        </row>
        <row r="19">
          <cell r="A19" t="str">
            <v>A200</v>
          </cell>
          <cell r="B19">
            <v>2</v>
          </cell>
          <cell r="C19" t="str">
            <v>Pengalaman di luar Daniswara Group</v>
          </cell>
          <cell r="D19" t="str">
            <v>Jika tidak, apakah sudah ada pengalaman sejenis di luar Daniswara?</v>
          </cell>
          <cell r="E19">
            <v>0.04</v>
          </cell>
        </row>
        <row r="21">
          <cell r="B21" t="str">
            <v>B</v>
          </cell>
          <cell r="C21" t="str">
            <v>ADMINISTRASI</v>
          </cell>
          <cell r="E21">
            <v>0.05</v>
          </cell>
        </row>
        <row r="22">
          <cell r="A22" t="str">
            <v>B100</v>
          </cell>
          <cell r="B22">
            <v>1</v>
          </cell>
          <cell r="C22" t="str">
            <v>Identitas (KTP &amp; KK)</v>
          </cell>
          <cell r="D22" t="str">
            <v>Apakah ada Identitas Diri KTP &amp; KK?</v>
          </cell>
          <cell r="E22">
            <v>0.01</v>
          </cell>
        </row>
        <row r="23">
          <cell r="A23" t="str">
            <v>B200</v>
          </cell>
          <cell r="B23">
            <v>2</v>
          </cell>
          <cell r="C23" t="str">
            <v>SIM A (utk jabatan di Divisi Operasi)</v>
          </cell>
          <cell r="D23" t="str">
            <v>Apakah sudah memiliki SIM A?</v>
          </cell>
          <cell r="E23">
            <v>0.02</v>
          </cell>
        </row>
        <row r="24">
          <cell r="A24" t="str">
            <v>B300</v>
          </cell>
          <cell r="B24">
            <v>3</v>
          </cell>
          <cell r="C24" t="str">
            <v>SIM C</v>
          </cell>
          <cell r="D24" t="str">
            <v>Apakah sudah memiliki SIM C?</v>
          </cell>
          <cell r="E24">
            <v>0.01</v>
          </cell>
        </row>
        <row r="25">
          <cell r="A25" t="str">
            <v>B400</v>
          </cell>
          <cell r="B25">
            <v>4</v>
          </cell>
          <cell r="C25" t="str">
            <v>NPWP</v>
          </cell>
          <cell r="D25" t="str">
            <v>Apakah sudah Memiliki NPWP?</v>
          </cell>
          <cell r="E25">
            <v>0.01</v>
          </cell>
        </row>
        <row r="27">
          <cell r="B27" t="str">
            <v>C</v>
          </cell>
          <cell r="C27" t="str">
            <v>HARD SKILL</v>
          </cell>
          <cell r="E27">
            <v>0.35000000000000003</v>
          </cell>
        </row>
        <row r="28">
          <cell r="A28" t="str">
            <v>C100</v>
          </cell>
          <cell r="B28">
            <v>1</v>
          </cell>
          <cell r="C28" t="str">
            <v>Operasi / Logistik</v>
          </cell>
          <cell r="E28">
            <v>0.35000000000000003</v>
          </cell>
        </row>
        <row r="29">
          <cell r="A29" t="str">
            <v>C110</v>
          </cell>
          <cell r="B29" t="str">
            <v>-</v>
          </cell>
          <cell r="C29" t="str">
            <v>Skill Mengemudi</v>
          </cell>
          <cell r="D29" t="str">
            <v>Coba ceritakan pengalaman / keahlian dalam mengemudi mobil angkut/logistik?</v>
          </cell>
          <cell r="E29">
            <v>0.15</v>
          </cell>
        </row>
        <row r="30">
          <cell r="A30" t="str">
            <v>C120</v>
          </cell>
          <cell r="B30" t="str">
            <v>-</v>
          </cell>
          <cell r="C30" t="str">
            <v>Flow Administrasi Logistik</v>
          </cell>
          <cell r="D30" t="str">
            <v>Coba ceritakan yang anda ketahui tentang alur administrasi logistik? Dan kaitannya dengan Ms. Office</v>
          </cell>
          <cell r="E30">
            <v>0.1</v>
          </cell>
        </row>
        <row r="31">
          <cell r="A31" t="str">
            <v>C130</v>
          </cell>
          <cell r="B31" t="str">
            <v>-</v>
          </cell>
          <cell r="C31" t="str">
            <v>Pengetahuan terkait logistik</v>
          </cell>
          <cell r="D31" t="str">
            <v>Ceritakan yang anda ketahui terkait dengan logistik?</v>
          </cell>
          <cell r="E31">
            <v>2.5000000000000001E-2</v>
          </cell>
        </row>
        <row r="32">
          <cell r="A32" t="str">
            <v>C140</v>
          </cell>
          <cell r="B32" t="str">
            <v>-</v>
          </cell>
          <cell r="C32" t="str">
            <v>Pengalaman di Bongkar Muat</v>
          </cell>
          <cell r="D32" t="str">
            <v>Apakah memiliki pengalaman terkait bongkar muat?sedalam apa?</v>
          </cell>
          <cell r="E32">
            <v>7.4999999999999997E-2</v>
          </cell>
        </row>
        <row r="34">
          <cell r="B34">
            <v>2</v>
          </cell>
          <cell r="C34" t="str">
            <v>Keuangan</v>
          </cell>
          <cell r="E34">
            <v>0.35</v>
          </cell>
        </row>
        <row r="35">
          <cell r="B35" t="str">
            <v>-</v>
          </cell>
          <cell r="C35" t="str">
            <v>Skill Akuntansi &amp; Input Data</v>
          </cell>
          <cell r="E35">
            <v>0.15</v>
          </cell>
        </row>
        <row r="36">
          <cell r="B36" t="str">
            <v>-</v>
          </cell>
          <cell r="C36" t="str">
            <v>Microsoft Office</v>
          </cell>
          <cell r="E36">
            <v>0.2</v>
          </cell>
        </row>
        <row r="38">
          <cell r="B38">
            <v>3</v>
          </cell>
          <cell r="C38" t="str">
            <v>Busdev &amp; HR</v>
          </cell>
        </row>
        <row r="39">
          <cell r="B39" t="str">
            <v>-</v>
          </cell>
          <cell r="C39" t="str">
            <v>Pengalaman Kreatif</v>
          </cell>
        </row>
        <row r="40">
          <cell r="B40" t="str">
            <v>-</v>
          </cell>
          <cell r="C40" t="str">
            <v>Organisasi Perusahaan &amp; Lembaga</v>
          </cell>
        </row>
        <row r="41">
          <cell r="B41" t="str">
            <v>-</v>
          </cell>
        </row>
        <row r="43">
          <cell r="B43" t="str">
            <v>D</v>
          </cell>
          <cell r="C43" t="str">
            <v>SOFT SKILL</v>
          </cell>
          <cell r="E43">
            <v>0.25</v>
          </cell>
        </row>
        <row r="44">
          <cell r="A44" t="str">
            <v>D100</v>
          </cell>
          <cell r="B44">
            <v>1</v>
          </cell>
          <cell r="C44" t="str">
            <v>Staff</v>
          </cell>
          <cell r="E44">
            <v>0.25</v>
          </cell>
        </row>
        <row r="45">
          <cell r="A45" t="str">
            <v>D110</v>
          </cell>
          <cell r="B45" t="str">
            <v>-</v>
          </cell>
          <cell r="C45" t="str">
            <v>Kepemimpinan</v>
          </cell>
          <cell r="D45" t="str">
            <v>Jika terjadi suatu diskusi dalam group/kelompok yang belum menemukan titik temu, apa yang akan anda lakukan?</v>
          </cell>
          <cell r="E45">
            <v>2.5000000000000001E-2</v>
          </cell>
        </row>
        <row r="46">
          <cell r="A46" t="str">
            <v>D120</v>
          </cell>
          <cell r="B46" t="str">
            <v>-</v>
          </cell>
          <cell r="C46" t="str">
            <v>Komunikasi</v>
          </cell>
          <cell r="D46" t="str">
            <v>Bagaimana hubungan kerjasama antar sesama pegawai / organisasi / kelompok?(jika memiliki pengalaman kerja)</v>
          </cell>
          <cell r="E46">
            <v>0.1</v>
          </cell>
        </row>
        <row r="47">
          <cell r="A47" t="str">
            <v>D130</v>
          </cell>
          <cell r="B47" t="str">
            <v>-</v>
          </cell>
          <cell r="C47" t="str">
            <v>Patuh pada Peraturan / Commitment</v>
          </cell>
          <cell r="D47" t="str">
            <v>Bagaimana pandangan anda terkait perusahaan dan aturan yang dapat berubah ubah sesuai arah perusahaan?</v>
          </cell>
          <cell r="E47">
            <v>0.05</v>
          </cell>
        </row>
        <row r="48">
          <cell r="A48" t="str">
            <v>D140</v>
          </cell>
          <cell r="B48" t="str">
            <v>-</v>
          </cell>
          <cell r="C48" t="str">
            <v>Determinasi thd tekanan</v>
          </cell>
          <cell r="D48" t="str">
            <v>Bagaimana pandangan anda jika anda dituntut pada pekerjaan diluar dari waktu normal dalam bekerja?</v>
          </cell>
          <cell r="E48">
            <v>7.4999999999999997E-2</v>
          </cell>
        </row>
        <row r="50">
          <cell r="B50">
            <v>2</v>
          </cell>
          <cell r="C50" t="str">
            <v>Supervisor</v>
          </cell>
        </row>
        <row r="51">
          <cell r="B51" t="str">
            <v>-</v>
          </cell>
          <cell r="C51" t="str">
            <v>Kepemimpinan</v>
          </cell>
        </row>
        <row r="52">
          <cell r="B52" t="str">
            <v>-</v>
          </cell>
          <cell r="C52" t="str">
            <v>Patuh pada Peraturan</v>
          </cell>
        </row>
        <row r="53">
          <cell r="B53" t="str">
            <v>-</v>
          </cell>
          <cell r="C53" t="str">
            <v>Problem Solver</v>
          </cell>
        </row>
        <row r="55">
          <cell r="B55">
            <v>3</v>
          </cell>
          <cell r="C55" t="str">
            <v>Manager</v>
          </cell>
        </row>
        <row r="56">
          <cell r="B56" t="str">
            <v>-</v>
          </cell>
          <cell r="C56" t="str">
            <v>Kepemimpinan</v>
          </cell>
        </row>
        <row r="57">
          <cell r="B57" t="str">
            <v>-</v>
          </cell>
          <cell r="C57" t="str">
            <v>Problem Solver</v>
          </cell>
        </row>
        <row r="58">
          <cell r="B58" t="str">
            <v>-</v>
          </cell>
          <cell r="C58" t="str">
            <v>Inovasi</v>
          </cell>
        </row>
        <row r="60">
          <cell r="B60" t="str">
            <v>E</v>
          </cell>
          <cell r="C60" t="str">
            <v>PSIKOLOGI INTERVIEW</v>
          </cell>
          <cell r="E60">
            <v>0.15</v>
          </cell>
        </row>
        <row r="61">
          <cell r="A61" t="str">
            <v>E100</v>
          </cell>
          <cell r="B61" t="str">
            <v>-</v>
          </cell>
          <cell r="C61" t="str">
            <v>Antusiasme / Keinginan bergabung</v>
          </cell>
          <cell r="D61" t="str">
            <v>Apa yang anda pikirkan setelah mendengar / mengetahui Daniswara membutuhkan personil baru di posisi ini?</v>
          </cell>
          <cell r="E61">
            <v>7.4999999999999997E-2</v>
          </cell>
        </row>
        <row r="62">
          <cell r="A62" t="str">
            <v>E200</v>
          </cell>
          <cell r="B62" t="str">
            <v>-</v>
          </cell>
          <cell r="C62" t="str">
            <v>Inisiatif</v>
          </cell>
          <cell r="D62" t="str">
            <v>Jika ada hal-hal yang kiranya belum diatur oleh perusahaan atau belum dapat arahan oleh atasan, apa yang biasanya anda lakukan?</v>
          </cell>
          <cell r="E62">
            <v>0.05</v>
          </cell>
        </row>
        <row r="63">
          <cell r="A63" t="str">
            <v>E300</v>
          </cell>
          <cell r="B63" t="str">
            <v>-</v>
          </cell>
          <cell r="C63" t="str">
            <v>Adaptif</v>
          </cell>
          <cell r="D63" t="str">
            <v>Coba ceritakan pengalaman anda terkait dengan berada dalam lingkungan yang baru / hal yang baru?</v>
          </cell>
          <cell r="E63">
            <v>2.5000000000000001E-2</v>
          </cell>
        </row>
        <row r="65">
          <cell r="B65" t="str">
            <v>F</v>
          </cell>
          <cell r="C65" t="str">
            <v>SALARY &amp; PROSPEKTUS KARIR</v>
          </cell>
          <cell r="E65">
            <v>0.05</v>
          </cell>
        </row>
        <row r="66">
          <cell r="A66" t="str">
            <v>F100</v>
          </cell>
          <cell r="B66" t="str">
            <v>-</v>
          </cell>
          <cell r="C66" t="str">
            <v>Ekspektasi Salary (Mengukur Budget &amp; Skill)</v>
          </cell>
          <cell r="D66" t="str">
            <v>Menurut anda, berapa ekspektasi salary/gaji yang anda inginkan? Bagaimana jika perusahaan belum memenuhinya?</v>
          </cell>
          <cell r="E66">
            <v>0.04</v>
          </cell>
        </row>
        <row r="67">
          <cell r="A67" t="str">
            <v>F200</v>
          </cell>
          <cell r="B67" t="str">
            <v>-</v>
          </cell>
          <cell r="C67" t="str">
            <v>Tujuan Karir</v>
          </cell>
          <cell r="D67" t="str">
            <v>Sejauh yang anda tahu tentang Daniswara, apa tujuan anda berkarir/berkarya bersama Daniswara? Apa ada target posisi yang anda inginkan?</v>
          </cell>
          <cell r="E67">
            <v>0.01</v>
          </cell>
        </row>
        <row r="69">
          <cell r="B69" t="str">
            <v>G</v>
          </cell>
          <cell r="C69" t="str">
            <v>ADD USER QUESTION</v>
          </cell>
          <cell r="E69">
            <v>0.05</v>
          </cell>
        </row>
        <row r="70">
          <cell r="A70" t="str">
            <v>G100</v>
          </cell>
          <cell r="B70" t="str">
            <v>-</v>
          </cell>
          <cell r="C70" t="str">
            <v>Pertanyaan Spesifik User</v>
          </cell>
          <cell r="D70" t="str">
            <v>Di karenakan ini 1 team dan berkumpul bersama 1 atap ( mess dan kantor ), bagaimana jika ada perselisihan?</v>
          </cell>
          <cell r="E70">
            <v>0.05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TANYAAN"/>
      <sheetName val="REKAP"/>
      <sheetName val="RESUME"/>
      <sheetName val="PENILAIAN-HR"/>
      <sheetName val="PENILAIAN-USER 1"/>
      <sheetName val="PENILAIAN-USER 2"/>
      <sheetName val="PENILAIAN-MANAGER"/>
    </sheetNames>
    <sheetDataSet>
      <sheetData sheetId="0">
        <row r="18">
          <cell r="A18" t="str">
            <v>A100</v>
          </cell>
          <cell r="B18">
            <v>1</v>
          </cell>
          <cell r="C18" t="str">
            <v>Pengalaman di dalam Daniswara Group</v>
          </cell>
          <cell r="D18" t="str">
            <v>Apakah ada Pengalaman di Daniswara Group? Bagaimana pandangan anda terkait Daniswara Group?</v>
          </cell>
          <cell r="E18">
            <v>0.06</v>
          </cell>
        </row>
        <row r="19">
          <cell r="A19" t="str">
            <v>A200</v>
          </cell>
          <cell r="B19">
            <v>2</v>
          </cell>
          <cell r="C19" t="str">
            <v>Pengalaman di luar Daniswara Group</v>
          </cell>
          <cell r="D19" t="str">
            <v>Jika tidak, apakah sudah ada pengalaman sejenis di luar Daniswara?</v>
          </cell>
          <cell r="E19">
            <v>0.04</v>
          </cell>
        </row>
        <row r="21">
          <cell r="B21" t="str">
            <v>B</v>
          </cell>
          <cell r="C21" t="str">
            <v>ADMINISTRASI</v>
          </cell>
          <cell r="E21">
            <v>0.05</v>
          </cell>
        </row>
        <row r="22">
          <cell r="A22" t="str">
            <v>B100</v>
          </cell>
          <cell r="B22">
            <v>1</v>
          </cell>
          <cell r="C22" t="str">
            <v>Identitas (KTP &amp; KK)</v>
          </cell>
          <cell r="D22" t="str">
            <v>Apakah ada Identitas Diri KTP &amp; KK?</v>
          </cell>
          <cell r="E22">
            <v>0.01</v>
          </cell>
        </row>
        <row r="23">
          <cell r="A23" t="str">
            <v>B200</v>
          </cell>
          <cell r="B23">
            <v>2</v>
          </cell>
          <cell r="C23" t="str">
            <v>SIM A (utk jabatan di Divisi Operasi)</v>
          </cell>
          <cell r="D23" t="str">
            <v>Apakah sudah memiliki SIM A?</v>
          </cell>
          <cell r="E23">
            <v>0.02</v>
          </cell>
        </row>
        <row r="24">
          <cell r="A24" t="str">
            <v>B300</v>
          </cell>
          <cell r="B24">
            <v>3</v>
          </cell>
          <cell r="C24" t="str">
            <v>SIM C</v>
          </cell>
          <cell r="D24" t="str">
            <v>Apakah sudah memiliki SIM C?</v>
          </cell>
          <cell r="E24">
            <v>0.01</v>
          </cell>
        </row>
        <row r="25">
          <cell r="A25" t="str">
            <v>B400</v>
          </cell>
          <cell r="B25">
            <v>4</v>
          </cell>
          <cell r="C25" t="str">
            <v>NPWP</v>
          </cell>
          <cell r="D25" t="str">
            <v>Apakah sudah Memiliki NPWP?</v>
          </cell>
          <cell r="E25">
            <v>0.01</v>
          </cell>
        </row>
        <row r="27">
          <cell r="B27" t="str">
            <v>C</v>
          </cell>
          <cell r="C27" t="str">
            <v>HARD SKILL</v>
          </cell>
          <cell r="E27">
            <v>0.35000000000000003</v>
          </cell>
        </row>
        <row r="28">
          <cell r="A28" t="str">
            <v>C100</v>
          </cell>
          <cell r="B28">
            <v>1</v>
          </cell>
          <cell r="C28" t="str">
            <v>Operasi / Logistik</v>
          </cell>
          <cell r="E28">
            <v>0.35000000000000003</v>
          </cell>
        </row>
        <row r="29">
          <cell r="A29" t="str">
            <v>C110</v>
          </cell>
          <cell r="B29" t="str">
            <v>-</v>
          </cell>
          <cell r="C29" t="str">
            <v>Skill Mengemudi</v>
          </cell>
          <cell r="D29" t="str">
            <v>Coba ceritakan pengalaman / keahlian dalam mengemudi mobil angkut/logistik?</v>
          </cell>
          <cell r="E29">
            <v>0.15</v>
          </cell>
        </row>
        <row r="30">
          <cell r="A30" t="str">
            <v>C120</v>
          </cell>
          <cell r="B30" t="str">
            <v>-</v>
          </cell>
          <cell r="C30" t="str">
            <v>Flow Administrasi Logistik</v>
          </cell>
          <cell r="D30" t="str">
            <v>Coba ceritakan yang anda ketahui tentang alur administrasi logistik? Dan kaitannya dengan Ms. Office</v>
          </cell>
          <cell r="E30">
            <v>0.1</v>
          </cell>
        </row>
        <row r="31">
          <cell r="A31" t="str">
            <v>C130</v>
          </cell>
          <cell r="B31" t="str">
            <v>-</v>
          </cell>
          <cell r="C31" t="str">
            <v>Pengetahuan terkait logistik</v>
          </cell>
          <cell r="D31" t="str">
            <v>Ceritakan yang anda ketahui terkait dengan logistik?</v>
          </cell>
          <cell r="E31">
            <v>2.5000000000000001E-2</v>
          </cell>
        </row>
        <row r="32">
          <cell r="A32" t="str">
            <v>C140</v>
          </cell>
          <cell r="B32" t="str">
            <v>-</v>
          </cell>
          <cell r="C32" t="str">
            <v>Pengalaman di Bongkar Muat</v>
          </cell>
          <cell r="D32" t="str">
            <v>Apakah memiliki pengalaman terkait bongkar muat?sedalam apa?</v>
          </cell>
          <cell r="E32">
            <v>7.4999999999999997E-2</v>
          </cell>
        </row>
        <row r="34">
          <cell r="B34">
            <v>2</v>
          </cell>
          <cell r="C34" t="str">
            <v>Keuangan</v>
          </cell>
          <cell r="E34">
            <v>0.35</v>
          </cell>
        </row>
        <row r="35">
          <cell r="B35" t="str">
            <v>-</v>
          </cell>
          <cell r="C35" t="str">
            <v>Skill Akuntansi &amp; Input Data</v>
          </cell>
          <cell r="E35">
            <v>0.15</v>
          </cell>
        </row>
        <row r="36">
          <cell r="B36" t="str">
            <v>-</v>
          </cell>
          <cell r="C36" t="str">
            <v>Microsoft Office</v>
          </cell>
          <cell r="E36">
            <v>0.2</v>
          </cell>
        </row>
        <row r="38">
          <cell r="B38">
            <v>3</v>
          </cell>
          <cell r="C38" t="str">
            <v>Busdev &amp; HR</v>
          </cell>
        </row>
        <row r="39">
          <cell r="B39" t="str">
            <v>-</v>
          </cell>
          <cell r="C39" t="str">
            <v>Pengalaman Kreatif</v>
          </cell>
        </row>
        <row r="40">
          <cell r="B40" t="str">
            <v>-</v>
          </cell>
          <cell r="C40" t="str">
            <v>Organisasi Perusahaan &amp; Lembaga</v>
          </cell>
        </row>
        <row r="41">
          <cell r="B41" t="str">
            <v>-</v>
          </cell>
        </row>
        <row r="43">
          <cell r="B43" t="str">
            <v>D</v>
          </cell>
          <cell r="C43" t="str">
            <v>SOFT SKILL</v>
          </cell>
          <cell r="E43">
            <v>0.25</v>
          </cell>
        </row>
        <row r="44">
          <cell r="A44" t="str">
            <v>D100</v>
          </cell>
          <cell r="B44">
            <v>1</v>
          </cell>
          <cell r="C44" t="str">
            <v>Staff</v>
          </cell>
          <cell r="E44">
            <v>0.25</v>
          </cell>
        </row>
        <row r="45">
          <cell r="A45" t="str">
            <v>D110</v>
          </cell>
          <cell r="B45" t="str">
            <v>-</v>
          </cell>
          <cell r="C45" t="str">
            <v>Kepemimpinan</v>
          </cell>
          <cell r="D45" t="str">
            <v>Jika terjadi suatu diskusi dalam group/kelompok yang belum menemukan titik temu, apa yang akan anda lakukan?</v>
          </cell>
          <cell r="E45">
            <v>2.5000000000000001E-2</v>
          </cell>
        </row>
        <row r="46">
          <cell r="A46" t="str">
            <v>D120</v>
          </cell>
          <cell r="B46" t="str">
            <v>-</v>
          </cell>
          <cell r="C46" t="str">
            <v>Komunikasi</v>
          </cell>
          <cell r="D46" t="str">
            <v>Bagaimana hubungan kerjasama antar sesama pegawai / organisasi / kelompok?(jika memiliki pengalaman kerja)</v>
          </cell>
          <cell r="E46">
            <v>0.1</v>
          </cell>
        </row>
        <row r="47">
          <cell r="A47" t="str">
            <v>D130</v>
          </cell>
          <cell r="B47" t="str">
            <v>-</v>
          </cell>
          <cell r="C47" t="str">
            <v>Patuh pada Peraturan / Commitment</v>
          </cell>
          <cell r="D47" t="str">
            <v>Bagaimana pandangan anda terkait perusahaan dan aturan yang dapat berubah ubah sesuai arah perusahaan?</v>
          </cell>
          <cell r="E47">
            <v>0.05</v>
          </cell>
        </row>
        <row r="48">
          <cell r="A48" t="str">
            <v>D140</v>
          </cell>
          <cell r="B48" t="str">
            <v>-</v>
          </cell>
          <cell r="C48" t="str">
            <v>Determinasi thd tekanan</v>
          </cell>
          <cell r="D48" t="str">
            <v>Bagaimana pandangan anda jika anda dituntut pada pekerjaan diluar dari waktu normal dalam bekerja?</v>
          </cell>
          <cell r="E48">
            <v>7.4999999999999997E-2</v>
          </cell>
        </row>
        <row r="50">
          <cell r="B50">
            <v>2</v>
          </cell>
          <cell r="C50" t="str">
            <v>Supervisor</v>
          </cell>
        </row>
        <row r="51">
          <cell r="B51" t="str">
            <v>-</v>
          </cell>
          <cell r="C51" t="str">
            <v>Kepemimpinan</v>
          </cell>
        </row>
        <row r="52">
          <cell r="B52" t="str">
            <v>-</v>
          </cell>
          <cell r="C52" t="str">
            <v>Patuh pada Peraturan</v>
          </cell>
        </row>
        <row r="53">
          <cell r="B53" t="str">
            <v>-</v>
          </cell>
          <cell r="C53" t="str">
            <v>Problem Solver</v>
          </cell>
        </row>
        <row r="55">
          <cell r="B55">
            <v>3</v>
          </cell>
          <cell r="C55" t="str">
            <v>Manager</v>
          </cell>
        </row>
        <row r="56">
          <cell r="B56" t="str">
            <v>-</v>
          </cell>
          <cell r="C56" t="str">
            <v>Kepemimpinan</v>
          </cell>
        </row>
        <row r="57">
          <cell r="B57" t="str">
            <v>-</v>
          </cell>
          <cell r="C57" t="str">
            <v>Problem Solver</v>
          </cell>
        </row>
        <row r="58">
          <cell r="B58" t="str">
            <v>-</v>
          </cell>
          <cell r="C58" t="str">
            <v>Inovasi</v>
          </cell>
        </row>
        <row r="60">
          <cell r="B60" t="str">
            <v>E</v>
          </cell>
          <cell r="C60" t="str">
            <v>PSIKOLOGI INTERVIEW</v>
          </cell>
          <cell r="E60">
            <v>0.15</v>
          </cell>
        </row>
        <row r="61">
          <cell r="A61" t="str">
            <v>E100</v>
          </cell>
          <cell r="B61" t="str">
            <v>-</v>
          </cell>
          <cell r="C61" t="str">
            <v>Antusiasme / Keinginan bergabung</v>
          </cell>
          <cell r="D61" t="str">
            <v>Apa yang anda pikirkan setelah mendengar / mengetahui Daniswara membutuhkan personil baru di posisi ini?</v>
          </cell>
          <cell r="E61">
            <v>7.4999999999999997E-2</v>
          </cell>
        </row>
        <row r="62">
          <cell r="A62" t="str">
            <v>E200</v>
          </cell>
          <cell r="B62" t="str">
            <v>-</v>
          </cell>
          <cell r="C62" t="str">
            <v>Inisiatif</v>
          </cell>
          <cell r="D62" t="str">
            <v>Jika ada hal-hal yang kiranya belum diatur oleh perusahaan atau belum dapat arahan oleh atasan, apa yang biasanya anda lakukan?</v>
          </cell>
          <cell r="E62">
            <v>0.05</v>
          </cell>
        </row>
        <row r="63">
          <cell r="A63" t="str">
            <v>E300</v>
          </cell>
          <cell r="B63" t="str">
            <v>-</v>
          </cell>
          <cell r="C63" t="str">
            <v>Adaptif</v>
          </cell>
          <cell r="D63" t="str">
            <v>Coba ceritakan pengalaman anda terkait dengan berada dalam lingkungan yang baru / hal yang baru?</v>
          </cell>
          <cell r="E63">
            <v>2.5000000000000001E-2</v>
          </cell>
        </row>
        <row r="65">
          <cell r="B65" t="str">
            <v>F</v>
          </cell>
          <cell r="C65" t="str">
            <v>SALARY &amp; PROSPEKTUS KARIR</v>
          </cell>
          <cell r="E65">
            <v>0.05</v>
          </cell>
        </row>
        <row r="66">
          <cell r="A66" t="str">
            <v>F100</v>
          </cell>
          <cell r="B66" t="str">
            <v>-</v>
          </cell>
          <cell r="C66" t="str">
            <v>Ekspektasi Salary (Mengukur Budget &amp; Skill)</v>
          </cell>
          <cell r="D66" t="str">
            <v>Menurut anda, berapa ekspektasi salary/gaji yang anda inginkan? Bagaimana jika perusahaan belum memenuhinya?</v>
          </cell>
          <cell r="E66">
            <v>0.04</v>
          </cell>
        </row>
        <row r="67">
          <cell r="A67" t="str">
            <v>F200</v>
          </cell>
          <cell r="B67" t="str">
            <v>-</v>
          </cell>
          <cell r="C67" t="str">
            <v>Tujuan Karir</v>
          </cell>
          <cell r="D67" t="str">
            <v>Sejauh yang anda tahu tentang Daniswara, apa tujuan anda berkarir/berkarya bersama Daniswara? Apa ada target posisi yang anda inginkan?</v>
          </cell>
          <cell r="E67">
            <v>0.01</v>
          </cell>
        </row>
        <row r="69">
          <cell r="B69" t="str">
            <v>G</v>
          </cell>
          <cell r="C69" t="str">
            <v>ADD USER QUESTION</v>
          </cell>
          <cell r="E69">
            <v>0.05</v>
          </cell>
        </row>
        <row r="70">
          <cell r="A70" t="str">
            <v>G100</v>
          </cell>
          <cell r="B70" t="str">
            <v>-</v>
          </cell>
          <cell r="C70" t="str">
            <v>Pertanyaan Spesifik User</v>
          </cell>
          <cell r="E70">
            <v>0.05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D3E9-61FF-4913-BB62-BD620A813F35}">
  <sheetPr>
    <tabColor rgb="FFFFFF00"/>
  </sheetPr>
  <dimension ref="A1:O78"/>
  <sheetViews>
    <sheetView zoomScaleNormal="100" workbookViewId="0">
      <pane xSplit="1" ySplit="14" topLeftCell="B30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D45" sqref="D45"/>
    </sheetView>
  </sheetViews>
  <sheetFormatPr defaultRowHeight="14.6" outlineLevelRow="1" outlineLevelCol="1" x14ac:dyDescent="0.4"/>
  <cols>
    <col min="1" max="1" width="17.69140625" style="93" customWidth="1"/>
    <col min="2" max="2" width="4.3828125" style="92" bestFit="1" customWidth="1"/>
    <col min="3" max="3" width="40.15234375" style="93" bestFit="1" customWidth="1"/>
    <col min="4" max="4" width="70.69140625" style="4" customWidth="1"/>
    <col min="5" max="5" width="9.15234375" style="5"/>
    <col min="6" max="6" width="1.69140625" style="5" customWidth="1"/>
    <col min="7" max="8" width="7.69140625" style="27" hidden="1" customWidth="1" outlineLevel="1"/>
    <col min="9" max="13" width="7.69140625" style="94" hidden="1" customWidth="1" outlineLevel="1"/>
    <col min="14" max="14" width="0" style="4" hidden="1" customWidth="1" outlineLevel="1"/>
    <col min="15" max="15" width="16.84375" style="93" customWidth="1" collapsed="1"/>
    <col min="16" max="16384" width="9.23046875" style="93"/>
  </cols>
  <sheetData>
    <row r="1" spans="1:15" x14ac:dyDescent="0.4">
      <c r="A1" s="2" t="s">
        <v>125</v>
      </c>
    </row>
    <row r="2" spans="1:15" x14ac:dyDescent="0.4">
      <c r="A2" s="2" t="s">
        <v>0</v>
      </c>
    </row>
    <row r="5" spans="1:15" x14ac:dyDescent="0.4">
      <c r="A5" s="2" t="s">
        <v>1</v>
      </c>
      <c r="B5" s="92" t="s">
        <v>29</v>
      </c>
      <c r="C5" s="2"/>
    </row>
    <row r="6" spans="1:15" x14ac:dyDescent="0.4">
      <c r="A6" s="2" t="s">
        <v>20</v>
      </c>
      <c r="B6" s="92" t="s">
        <v>29</v>
      </c>
      <c r="C6" s="93" t="s">
        <v>31</v>
      </c>
    </row>
    <row r="7" spans="1:15" x14ac:dyDescent="0.4">
      <c r="A7" s="2" t="s">
        <v>32</v>
      </c>
      <c r="B7" s="92" t="s">
        <v>29</v>
      </c>
      <c r="C7" s="93" t="s">
        <v>33</v>
      </c>
    </row>
    <row r="8" spans="1:15" x14ac:dyDescent="0.4">
      <c r="A8" s="2" t="s">
        <v>34</v>
      </c>
      <c r="B8" s="92" t="s">
        <v>29</v>
      </c>
      <c r="C8" s="93" t="s">
        <v>35</v>
      </c>
    </row>
    <row r="9" spans="1:15" x14ac:dyDescent="0.4">
      <c r="A9" s="2" t="s">
        <v>28</v>
      </c>
      <c r="B9" s="92" t="s">
        <v>29</v>
      </c>
      <c r="C9" s="93" t="s">
        <v>83</v>
      </c>
    </row>
    <row r="10" spans="1:15" x14ac:dyDescent="0.4">
      <c r="A10" s="2" t="s">
        <v>68</v>
      </c>
      <c r="B10" s="92" t="s">
        <v>29</v>
      </c>
      <c r="C10" s="2" t="s">
        <v>62</v>
      </c>
    </row>
    <row r="11" spans="1:15" x14ac:dyDescent="0.4">
      <c r="A11" s="2" t="s">
        <v>67</v>
      </c>
      <c r="B11" s="92" t="s">
        <v>29</v>
      </c>
      <c r="C11" s="24">
        <f>N16</f>
        <v>86.7</v>
      </c>
    </row>
    <row r="13" spans="1:15" s="2" customFormat="1" x14ac:dyDescent="0.4">
      <c r="A13" s="67" t="s">
        <v>124</v>
      </c>
      <c r="B13" s="68" t="s">
        <v>2</v>
      </c>
      <c r="C13" s="68" t="s">
        <v>3</v>
      </c>
      <c r="D13" s="73" t="s">
        <v>74</v>
      </c>
      <c r="E13" s="70" t="s">
        <v>19</v>
      </c>
      <c r="F13" s="42"/>
      <c r="G13" s="78" t="s">
        <v>18</v>
      </c>
      <c r="H13" s="79"/>
      <c r="I13" s="68" t="s">
        <v>37</v>
      </c>
      <c r="J13" s="68"/>
      <c r="K13" s="68"/>
      <c r="L13" s="68"/>
      <c r="M13" s="68"/>
      <c r="N13" s="65" t="s">
        <v>17</v>
      </c>
      <c r="O13" s="66" t="s">
        <v>61</v>
      </c>
    </row>
    <row r="14" spans="1:15" s="2" customFormat="1" x14ac:dyDescent="0.4">
      <c r="A14" s="67"/>
      <c r="B14" s="68"/>
      <c r="C14" s="96"/>
      <c r="D14" s="74"/>
      <c r="E14" s="71"/>
      <c r="F14" s="44"/>
      <c r="G14" s="42" t="s">
        <v>14</v>
      </c>
      <c r="H14" s="42" t="s">
        <v>15</v>
      </c>
      <c r="I14" s="41" t="s">
        <v>39</v>
      </c>
      <c r="J14" s="41" t="s">
        <v>40</v>
      </c>
      <c r="K14" s="41" t="s">
        <v>41</v>
      </c>
      <c r="L14" s="41" t="s">
        <v>42</v>
      </c>
      <c r="M14" s="41" t="s">
        <v>43</v>
      </c>
      <c r="N14" s="65"/>
      <c r="O14" s="66"/>
    </row>
    <row r="15" spans="1:15" s="2" customFormat="1" x14ac:dyDescent="0.4">
      <c r="A15" s="3">
        <v>1</v>
      </c>
      <c r="B15" s="10">
        <f>A15+1</f>
        <v>2</v>
      </c>
      <c r="C15" s="10">
        <f t="shared" ref="C15:E15" si="0">B15+1</f>
        <v>3</v>
      </c>
      <c r="D15" s="10">
        <f t="shared" si="0"/>
        <v>4</v>
      </c>
      <c r="E15" s="10">
        <f t="shared" si="0"/>
        <v>5</v>
      </c>
      <c r="F15" s="9"/>
      <c r="G15" s="9"/>
      <c r="H15" s="9"/>
      <c r="I15" s="12">
        <v>0.2</v>
      </c>
      <c r="J15" s="12">
        <v>0.4</v>
      </c>
      <c r="K15" s="12">
        <v>0.6</v>
      </c>
      <c r="L15" s="12">
        <v>0.8</v>
      </c>
      <c r="M15" s="12">
        <v>1</v>
      </c>
      <c r="N15" s="8"/>
      <c r="O15" s="13"/>
    </row>
    <row r="16" spans="1:15" s="2" customFormat="1" x14ac:dyDescent="0.4">
      <c r="B16" s="34"/>
      <c r="C16" s="35" t="s">
        <v>65</v>
      </c>
      <c r="D16" s="36"/>
      <c r="E16" s="37">
        <f>E17+E21+E27+E43+E60+E65+E69</f>
        <v>1</v>
      </c>
      <c r="F16" s="37"/>
      <c r="G16" s="38"/>
      <c r="H16" s="38"/>
      <c r="I16" s="39"/>
      <c r="J16" s="39"/>
      <c r="K16" s="39"/>
      <c r="L16" s="39"/>
      <c r="M16" s="39"/>
      <c r="N16" s="40">
        <f>N17+N21+N27+N43+N60+N65+N69</f>
        <v>86.7</v>
      </c>
      <c r="O16" s="35"/>
    </row>
    <row r="17" spans="1:15" x14ac:dyDescent="0.4">
      <c r="B17" s="48" t="s">
        <v>66</v>
      </c>
      <c r="C17" s="49" t="s">
        <v>4</v>
      </c>
      <c r="D17" s="50"/>
      <c r="E17" s="51">
        <f>SUM(E18:E19)</f>
        <v>0.1</v>
      </c>
      <c r="F17" s="51"/>
      <c r="G17" s="52"/>
      <c r="H17" s="52"/>
      <c r="I17" s="97"/>
      <c r="J17" s="97"/>
      <c r="K17" s="97"/>
      <c r="L17" s="97"/>
      <c r="M17" s="97"/>
      <c r="N17" s="54">
        <f>SUM(N18:N20)</f>
        <v>10</v>
      </c>
      <c r="O17" s="98"/>
    </row>
    <row r="18" spans="1:15" s="158" customFormat="1" ht="30" customHeight="1" x14ac:dyDescent="0.4">
      <c r="A18" s="99" t="s">
        <v>102</v>
      </c>
      <c r="B18" s="156">
        <v>1</v>
      </c>
      <c r="C18" s="101" t="s">
        <v>5</v>
      </c>
      <c r="D18" s="32" t="s">
        <v>89</v>
      </c>
      <c r="E18" s="46">
        <v>0.06</v>
      </c>
      <c r="F18" s="46"/>
      <c r="G18" s="47" t="s">
        <v>16</v>
      </c>
      <c r="H18" s="47"/>
      <c r="I18" s="157"/>
      <c r="J18" s="157"/>
      <c r="K18" s="157"/>
      <c r="L18" s="157"/>
      <c r="M18" s="157"/>
      <c r="N18" s="33">
        <f>IF(G18="V",E18*100,0)</f>
        <v>6</v>
      </c>
      <c r="O18" s="101"/>
    </row>
    <row r="19" spans="1:15" s="158" customFormat="1" ht="30" customHeight="1" x14ac:dyDescent="0.4">
      <c r="A19" s="99" t="s">
        <v>103</v>
      </c>
      <c r="B19" s="156">
        <f>B18+1</f>
        <v>2</v>
      </c>
      <c r="C19" s="101" t="s">
        <v>7</v>
      </c>
      <c r="D19" s="32" t="s">
        <v>75</v>
      </c>
      <c r="E19" s="46">
        <v>0.04</v>
      </c>
      <c r="F19" s="46"/>
      <c r="G19" s="47" t="s">
        <v>16</v>
      </c>
      <c r="H19" s="47"/>
      <c r="I19" s="157"/>
      <c r="J19" s="157"/>
      <c r="K19" s="157"/>
      <c r="L19" s="157"/>
      <c r="M19" s="157"/>
      <c r="N19" s="33">
        <f>IF(G19="V",E19*100,0)</f>
        <v>4</v>
      </c>
      <c r="O19" s="101"/>
    </row>
    <row r="20" spans="1:15" x14ac:dyDescent="0.4">
      <c r="A20" s="92"/>
      <c r="B20" s="104"/>
      <c r="C20" s="103"/>
      <c r="D20" s="30"/>
      <c r="E20" s="17"/>
      <c r="F20" s="17"/>
      <c r="G20" s="28"/>
      <c r="H20" s="28"/>
      <c r="I20" s="102"/>
      <c r="J20" s="102"/>
      <c r="K20" s="102"/>
      <c r="L20" s="102"/>
      <c r="M20" s="102"/>
      <c r="N20" s="16"/>
      <c r="O20" s="103"/>
    </row>
    <row r="21" spans="1:15" x14ac:dyDescent="0.4">
      <c r="A21" s="92"/>
      <c r="B21" s="48" t="s">
        <v>42</v>
      </c>
      <c r="C21" s="49" t="s">
        <v>9</v>
      </c>
      <c r="D21" s="50"/>
      <c r="E21" s="51">
        <f>SUM(E22:E25)</f>
        <v>0.05</v>
      </c>
      <c r="F21" s="51"/>
      <c r="G21" s="52"/>
      <c r="H21" s="52"/>
      <c r="I21" s="97"/>
      <c r="J21" s="97"/>
      <c r="K21" s="97"/>
      <c r="L21" s="97"/>
      <c r="M21" s="97"/>
      <c r="N21" s="54">
        <f>SUM(N22:N25)</f>
        <v>5</v>
      </c>
      <c r="O21" s="98"/>
    </row>
    <row r="22" spans="1:15" s="158" customFormat="1" ht="30" customHeight="1" x14ac:dyDescent="0.4">
      <c r="A22" s="99" t="s">
        <v>104</v>
      </c>
      <c r="B22" s="156">
        <v>1</v>
      </c>
      <c r="C22" s="101" t="s">
        <v>12</v>
      </c>
      <c r="D22" s="32" t="s">
        <v>90</v>
      </c>
      <c r="E22" s="46">
        <v>0.01</v>
      </c>
      <c r="F22" s="46"/>
      <c r="G22" s="47" t="s">
        <v>16</v>
      </c>
      <c r="H22" s="47"/>
      <c r="I22" s="157"/>
      <c r="J22" s="157"/>
      <c r="K22" s="157"/>
      <c r="L22" s="157"/>
      <c r="M22" s="157"/>
      <c r="N22" s="33">
        <f t="shared" ref="N22:N25" si="1">IF(G22="V",E22*100,0)</f>
        <v>1</v>
      </c>
      <c r="O22" s="101"/>
    </row>
    <row r="23" spans="1:15" s="158" customFormat="1" ht="30" customHeight="1" x14ac:dyDescent="0.4">
      <c r="A23" s="99" t="s">
        <v>105</v>
      </c>
      <c r="B23" s="156">
        <f>B22+1</f>
        <v>2</v>
      </c>
      <c r="C23" s="101" t="s">
        <v>10</v>
      </c>
      <c r="D23" s="32" t="s">
        <v>76</v>
      </c>
      <c r="E23" s="46">
        <v>0.02</v>
      </c>
      <c r="F23" s="46"/>
      <c r="G23" s="47" t="s">
        <v>16</v>
      </c>
      <c r="H23" s="47"/>
      <c r="I23" s="157"/>
      <c r="J23" s="157"/>
      <c r="K23" s="157"/>
      <c r="L23" s="157"/>
      <c r="M23" s="157"/>
      <c r="N23" s="33">
        <f t="shared" si="1"/>
        <v>2</v>
      </c>
      <c r="O23" s="101"/>
    </row>
    <row r="24" spans="1:15" s="158" customFormat="1" ht="30" customHeight="1" x14ac:dyDescent="0.4">
      <c r="A24" s="99" t="s">
        <v>106</v>
      </c>
      <c r="B24" s="156">
        <f t="shared" ref="B24:B25" si="2">B23+1</f>
        <v>3</v>
      </c>
      <c r="C24" s="101" t="s">
        <v>11</v>
      </c>
      <c r="D24" s="32" t="s">
        <v>77</v>
      </c>
      <c r="E24" s="46">
        <v>0.01</v>
      </c>
      <c r="F24" s="46"/>
      <c r="G24" s="47" t="s">
        <v>16</v>
      </c>
      <c r="H24" s="47"/>
      <c r="I24" s="157"/>
      <c r="J24" s="157"/>
      <c r="K24" s="157"/>
      <c r="L24" s="157"/>
      <c r="M24" s="157"/>
      <c r="N24" s="33">
        <f t="shared" si="1"/>
        <v>1</v>
      </c>
      <c r="O24" s="101"/>
    </row>
    <row r="25" spans="1:15" s="158" customFormat="1" ht="30" customHeight="1" x14ac:dyDescent="0.4">
      <c r="A25" s="99" t="s">
        <v>107</v>
      </c>
      <c r="B25" s="156">
        <f t="shared" si="2"/>
        <v>4</v>
      </c>
      <c r="C25" s="101" t="s">
        <v>13</v>
      </c>
      <c r="D25" s="32" t="s">
        <v>78</v>
      </c>
      <c r="E25" s="46">
        <v>0.01</v>
      </c>
      <c r="F25" s="46"/>
      <c r="G25" s="47" t="s">
        <v>16</v>
      </c>
      <c r="H25" s="47"/>
      <c r="I25" s="157"/>
      <c r="J25" s="157"/>
      <c r="K25" s="157"/>
      <c r="L25" s="157"/>
      <c r="M25" s="157"/>
      <c r="N25" s="33">
        <f t="shared" si="1"/>
        <v>1</v>
      </c>
      <c r="O25" s="101"/>
    </row>
    <row r="26" spans="1:15" x14ac:dyDescent="0.4">
      <c r="A26" s="92"/>
      <c r="B26" s="104"/>
      <c r="C26" s="103"/>
      <c r="D26" s="30"/>
      <c r="E26" s="17"/>
      <c r="F26" s="17"/>
      <c r="G26" s="28"/>
      <c r="H26" s="28"/>
      <c r="I26" s="102"/>
      <c r="J26" s="102"/>
      <c r="K26" s="102"/>
      <c r="L26" s="102"/>
      <c r="M26" s="102"/>
      <c r="N26" s="16"/>
      <c r="O26" s="103"/>
    </row>
    <row r="27" spans="1:15" x14ac:dyDescent="0.4">
      <c r="A27" s="92"/>
      <c r="B27" s="48" t="s">
        <v>97</v>
      </c>
      <c r="C27" s="49" t="s">
        <v>21</v>
      </c>
      <c r="D27" s="56"/>
      <c r="E27" s="51">
        <f>E28</f>
        <v>0.35000000000000003</v>
      </c>
      <c r="F27" s="57"/>
      <c r="G27" s="58"/>
      <c r="H27" s="58"/>
      <c r="I27" s="97"/>
      <c r="J27" s="97"/>
      <c r="K27" s="97"/>
      <c r="L27" s="97"/>
      <c r="M27" s="97"/>
      <c r="N27" s="54">
        <f>N28</f>
        <v>28.5</v>
      </c>
      <c r="O27" s="98"/>
    </row>
    <row r="28" spans="1:15" x14ac:dyDescent="0.4">
      <c r="A28" s="99" t="s">
        <v>108</v>
      </c>
      <c r="B28" s="100">
        <v>1</v>
      </c>
      <c r="C28" s="103" t="s">
        <v>51</v>
      </c>
      <c r="D28" s="30"/>
      <c r="E28" s="17">
        <f>SUM(E29:E32)</f>
        <v>0.35000000000000003</v>
      </c>
      <c r="F28" s="17"/>
      <c r="G28" s="28"/>
      <c r="H28" s="28"/>
      <c r="I28" s="102"/>
      <c r="J28" s="102"/>
      <c r="K28" s="102"/>
      <c r="L28" s="102"/>
      <c r="M28" s="102"/>
      <c r="N28" s="16">
        <f>SUM(N29:N33)</f>
        <v>28.5</v>
      </c>
      <c r="O28" s="103"/>
    </row>
    <row r="29" spans="1:15" s="158" customFormat="1" ht="30" customHeight="1" x14ac:dyDescent="0.4">
      <c r="A29" s="99" t="s">
        <v>109</v>
      </c>
      <c r="B29" s="156" t="s">
        <v>6</v>
      </c>
      <c r="C29" s="101" t="s">
        <v>36</v>
      </c>
      <c r="D29" s="32" t="s">
        <v>84</v>
      </c>
      <c r="E29" s="46">
        <v>0.15</v>
      </c>
      <c r="F29" s="46"/>
      <c r="G29" s="47"/>
      <c r="H29" s="47"/>
      <c r="I29" s="157"/>
      <c r="J29" s="157"/>
      <c r="K29" s="157"/>
      <c r="L29" s="157" t="s">
        <v>16</v>
      </c>
      <c r="M29" s="157"/>
      <c r="N29" s="33">
        <f>IF(I29="V",$E29*I$15,IF(J29="V",$E29*J$15,IF(K29="V",$E29*K$15,IF(L29="V",$E29*L$15,IF(M29="V",$E29*M$15,0)))))*100</f>
        <v>12</v>
      </c>
      <c r="O29" s="101"/>
    </row>
    <row r="30" spans="1:15" s="158" customFormat="1" ht="30" customHeight="1" x14ac:dyDescent="0.4">
      <c r="A30" s="99" t="s">
        <v>110</v>
      </c>
      <c r="B30" s="156" t="s">
        <v>6</v>
      </c>
      <c r="C30" s="101" t="s">
        <v>45</v>
      </c>
      <c r="D30" s="32" t="s">
        <v>147</v>
      </c>
      <c r="E30" s="46">
        <v>0.1</v>
      </c>
      <c r="F30" s="46"/>
      <c r="G30" s="47"/>
      <c r="H30" s="47"/>
      <c r="I30" s="157"/>
      <c r="J30" s="157"/>
      <c r="K30" s="157"/>
      <c r="L30" s="157"/>
      <c r="M30" s="157" t="s">
        <v>16</v>
      </c>
      <c r="N30" s="33">
        <f t="shared" ref="N30:N32" si="3">IF(I30="V",$E30*I$15,IF(J30="V",$E30*J$15,IF(K30="V",$E30*K$15,IF(L30="V",$E30*L$15,IF(M30="V",$E30*M$15,0)))))*100</f>
        <v>10</v>
      </c>
      <c r="O30" s="101"/>
    </row>
    <row r="31" spans="1:15" s="158" customFormat="1" ht="30" customHeight="1" x14ac:dyDescent="0.4">
      <c r="A31" s="99" t="s">
        <v>111</v>
      </c>
      <c r="B31" s="156" t="s">
        <v>6</v>
      </c>
      <c r="C31" s="101" t="s">
        <v>63</v>
      </c>
      <c r="D31" s="32" t="s">
        <v>79</v>
      </c>
      <c r="E31" s="46">
        <v>2.5000000000000001E-2</v>
      </c>
      <c r="F31" s="46"/>
      <c r="G31" s="47"/>
      <c r="H31" s="47"/>
      <c r="I31" s="157"/>
      <c r="J31" s="157"/>
      <c r="K31" s="157"/>
      <c r="L31" s="157" t="s">
        <v>16</v>
      </c>
      <c r="M31" s="157"/>
      <c r="N31" s="33">
        <f t="shared" si="3"/>
        <v>2.0000000000000004</v>
      </c>
      <c r="O31" s="101"/>
    </row>
    <row r="32" spans="1:15" s="158" customFormat="1" ht="30" customHeight="1" x14ac:dyDescent="0.4">
      <c r="A32" s="99" t="s">
        <v>112</v>
      </c>
      <c r="B32" s="156" t="s">
        <v>6</v>
      </c>
      <c r="C32" s="101" t="s">
        <v>64</v>
      </c>
      <c r="D32" s="32" t="s">
        <v>80</v>
      </c>
      <c r="E32" s="46">
        <v>7.4999999999999997E-2</v>
      </c>
      <c r="F32" s="46"/>
      <c r="G32" s="47"/>
      <c r="H32" s="47"/>
      <c r="I32" s="157"/>
      <c r="J32" s="157"/>
      <c r="K32" s="157" t="s">
        <v>16</v>
      </c>
      <c r="L32" s="157"/>
      <c r="M32" s="157"/>
      <c r="N32" s="33">
        <f t="shared" si="3"/>
        <v>4.5</v>
      </c>
      <c r="O32" s="101"/>
    </row>
    <row r="33" spans="1:15" x14ac:dyDescent="0.4">
      <c r="A33" s="92"/>
      <c r="B33" s="100"/>
      <c r="C33" s="103"/>
      <c r="D33" s="30"/>
      <c r="E33" s="17"/>
      <c r="F33" s="17"/>
      <c r="G33" s="28"/>
      <c r="H33" s="28"/>
      <c r="I33" s="102"/>
      <c r="J33" s="102"/>
      <c r="K33" s="102"/>
      <c r="L33" s="102"/>
      <c r="M33" s="102"/>
      <c r="N33" s="16"/>
      <c r="O33" s="103"/>
    </row>
    <row r="34" spans="1:15" hidden="1" outlineLevel="1" x14ac:dyDescent="0.4">
      <c r="A34" s="92"/>
      <c r="B34" s="100">
        <f>B28+1</f>
        <v>2</v>
      </c>
      <c r="C34" s="103" t="s">
        <v>22</v>
      </c>
      <c r="D34" s="30"/>
      <c r="E34" s="17">
        <f>SUM(E35:E37)</f>
        <v>0.35</v>
      </c>
      <c r="F34" s="17"/>
      <c r="G34" s="28"/>
      <c r="H34" s="28"/>
      <c r="I34" s="102"/>
      <c r="J34" s="102"/>
      <c r="K34" s="102"/>
      <c r="L34" s="102"/>
      <c r="M34" s="102"/>
      <c r="N34" s="16"/>
      <c r="O34" s="103"/>
    </row>
    <row r="35" spans="1:15" hidden="1" outlineLevel="1" x14ac:dyDescent="0.4">
      <c r="A35" s="92"/>
      <c r="B35" s="100" t="s">
        <v>6</v>
      </c>
      <c r="C35" s="103" t="s">
        <v>44</v>
      </c>
      <c r="D35" s="30"/>
      <c r="E35" s="17">
        <v>0.15</v>
      </c>
      <c r="F35" s="17"/>
      <c r="G35" s="28"/>
      <c r="H35" s="28"/>
      <c r="I35" s="102"/>
      <c r="J35" s="102"/>
      <c r="K35" s="102"/>
      <c r="L35" s="102"/>
      <c r="M35" s="102"/>
      <c r="N35" s="16"/>
      <c r="O35" s="103"/>
    </row>
    <row r="36" spans="1:15" hidden="1" outlineLevel="1" x14ac:dyDescent="0.4">
      <c r="A36" s="92"/>
      <c r="B36" s="100" t="s">
        <v>6</v>
      </c>
      <c r="C36" s="103" t="s">
        <v>50</v>
      </c>
      <c r="D36" s="30"/>
      <c r="E36" s="17">
        <v>0.2</v>
      </c>
      <c r="F36" s="17"/>
      <c r="G36" s="28"/>
      <c r="H36" s="28"/>
      <c r="I36" s="102"/>
      <c r="J36" s="102"/>
      <c r="K36" s="102"/>
      <c r="L36" s="102"/>
      <c r="M36" s="102"/>
      <c r="N36" s="16"/>
      <c r="O36" s="103"/>
    </row>
    <row r="37" spans="1:15" hidden="1" outlineLevel="1" x14ac:dyDescent="0.4">
      <c r="A37" s="92"/>
      <c r="B37" s="100"/>
      <c r="C37" s="103"/>
      <c r="D37" s="30"/>
      <c r="E37" s="17"/>
      <c r="F37" s="17"/>
      <c r="G37" s="28"/>
      <c r="H37" s="28"/>
      <c r="I37" s="102"/>
      <c r="J37" s="102"/>
      <c r="K37" s="102"/>
      <c r="L37" s="102"/>
      <c r="M37" s="102"/>
      <c r="N37" s="16"/>
      <c r="O37" s="103"/>
    </row>
    <row r="38" spans="1:15" hidden="1" outlineLevel="1" x14ac:dyDescent="0.4">
      <c r="A38" s="92"/>
      <c r="B38" s="104">
        <v>3</v>
      </c>
      <c r="C38" s="103" t="s">
        <v>23</v>
      </c>
      <c r="D38" s="30"/>
      <c r="E38" s="17"/>
      <c r="F38" s="17"/>
      <c r="G38" s="28"/>
      <c r="H38" s="28"/>
      <c r="I38" s="102"/>
      <c r="J38" s="102"/>
      <c r="K38" s="102"/>
      <c r="L38" s="102"/>
      <c r="M38" s="102"/>
      <c r="N38" s="16"/>
      <c r="O38" s="103"/>
    </row>
    <row r="39" spans="1:15" hidden="1" outlineLevel="1" x14ac:dyDescent="0.4">
      <c r="A39" s="92"/>
      <c r="B39" s="100" t="s">
        <v>6</v>
      </c>
      <c r="C39" s="103" t="s">
        <v>52</v>
      </c>
      <c r="D39" s="30"/>
      <c r="E39" s="17"/>
      <c r="F39" s="17"/>
      <c r="G39" s="28"/>
      <c r="H39" s="28"/>
      <c r="I39" s="102"/>
      <c r="J39" s="102"/>
      <c r="K39" s="102"/>
      <c r="L39" s="102"/>
      <c r="M39" s="102"/>
      <c r="N39" s="16"/>
      <c r="O39" s="103"/>
    </row>
    <row r="40" spans="1:15" hidden="1" outlineLevel="1" x14ac:dyDescent="0.4">
      <c r="A40" s="92"/>
      <c r="B40" s="100" t="s">
        <v>6</v>
      </c>
      <c r="C40" s="103" t="s">
        <v>53</v>
      </c>
      <c r="D40" s="30"/>
      <c r="E40" s="17"/>
      <c r="F40" s="17"/>
      <c r="G40" s="28"/>
      <c r="H40" s="28"/>
      <c r="I40" s="102"/>
      <c r="J40" s="102"/>
      <c r="K40" s="102"/>
      <c r="L40" s="102"/>
      <c r="M40" s="102"/>
      <c r="N40" s="16"/>
      <c r="O40" s="103"/>
    </row>
    <row r="41" spans="1:15" hidden="1" outlineLevel="1" x14ac:dyDescent="0.4">
      <c r="A41" s="92"/>
      <c r="B41" s="100" t="s">
        <v>6</v>
      </c>
      <c r="C41" s="103"/>
      <c r="D41" s="30"/>
      <c r="E41" s="17"/>
      <c r="F41" s="17"/>
      <c r="G41" s="28"/>
      <c r="H41" s="28"/>
      <c r="I41" s="102"/>
      <c r="J41" s="102"/>
      <c r="K41" s="102"/>
      <c r="L41" s="102"/>
      <c r="M41" s="102"/>
      <c r="N41" s="16"/>
      <c r="O41" s="103"/>
    </row>
    <row r="42" spans="1:15" hidden="1" outlineLevel="1" x14ac:dyDescent="0.4">
      <c r="A42" s="92"/>
      <c r="B42" s="104"/>
      <c r="C42" s="103"/>
      <c r="D42" s="30"/>
      <c r="E42" s="17"/>
      <c r="F42" s="17"/>
      <c r="G42" s="28"/>
      <c r="H42" s="28"/>
      <c r="I42" s="102"/>
      <c r="J42" s="102"/>
      <c r="K42" s="102"/>
      <c r="L42" s="102"/>
      <c r="M42" s="102"/>
      <c r="N42" s="16"/>
      <c r="O42" s="103"/>
    </row>
    <row r="43" spans="1:15" s="2" customFormat="1" collapsed="1" x14ac:dyDescent="0.4">
      <c r="A43" s="3"/>
      <c r="B43" s="48" t="s">
        <v>98</v>
      </c>
      <c r="C43" s="49" t="s">
        <v>24</v>
      </c>
      <c r="D43" s="50"/>
      <c r="E43" s="51">
        <f>E44</f>
        <v>0.25</v>
      </c>
      <c r="F43" s="51"/>
      <c r="G43" s="52"/>
      <c r="H43" s="52"/>
      <c r="I43" s="59"/>
      <c r="J43" s="59"/>
      <c r="K43" s="59"/>
      <c r="L43" s="59"/>
      <c r="M43" s="59"/>
      <c r="N43" s="54">
        <f>N44</f>
        <v>22.5</v>
      </c>
      <c r="O43" s="49"/>
    </row>
    <row r="44" spans="1:15" x14ac:dyDescent="0.4">
      <c r="A44" s="92" t="s">
        <v>113</v>
      </c>
      <c r="B44" s="104">
        <v>1</v>
      </c>
      <c r="C44" s="103" t="s">
        <v>25</v>
      </c>
      <c r="D44" s="30"/>
      <c r="E44" s="17">
        <f>SUM(E45:E49)</f>
        <v>0.25</v>
      </c>
      <c r="F44" s="17"/>
      <c r="G44" s="28"/>
      <c r="H44" s="28"/>
      <c r="I44" s="102"/>
      <c r="J44" s="102"/>
      <c r="K44" s="102"/>
      <c r="L44" s="102"/>
      <c r="M44" s="102"/>
      <c r="N44" s="16">
        <f>SUM(N45:N48)</f>
        <v>22.5</v>
      </c>
      <c r="O44" s="103"/>
    </row>
    <row r="45" spans="1:15" s="158" customFormat="1" ht="30" customHeight="1" x14ac:dyDescent="0.4">
      <c r="A45" s="99" t="s">
        <v>114</v>
      </c>
      <c r="B45" s="156" t="s">
        <v>6</v>
      </c>
      <c r="C45" s="101" t="s">
        <v>54</v>
      </c>
      <c r="D45" s="32" t="s">
        <v>87</v>
      </c>
      <c r="E45" s="46">
        <v>2.5000000000000001E-2</v>
      </c>
      <c r="F45" s="46"/>
      <c r="G45" s="47"/>
      <c r="H45" s="47"/>
      <c r="I45" s="157"/>
      <c r="J45" s="157"/>
      <c r="K45" s="157"/>
      <c r="L45" s="157" t="s">
        <v>16</v>
      </c>
      <c r="M45" s="157"/>
      <c r="N45" s="33">
        <f>IF(I45="V",$E45*I$15,IF(J45="V",$E45*J$15,IF(K45="V",$E45*K$15,IF(L45="V",$E45*L$15,IF(M45="V",$E45*M$15,0)))))*100</f>
        <v>2.0000000000000004</v>
      </c>
      <c r="O45" s="101"/>
    </row>
    <row r="46" spans="1:15" s="158" customFormat="1" ht="30" customHeight="1" x14ac:dyDescent="0.4">
      <c r="A46" s="99" t="s">
        <v>115</v>
      </c>
      <c r="B46" s="156" t="s">
        <v>6</v>
      </c>
      <c r="C46" s="101" t="s">
        <v>58</v>
      </c>
      <c r="D46" s="32" t="s">
        <v>143</v>
      </c>
      <c r="E46" s="46">
        <v>0.1</v>
      </c>
      <c r="F46" s="46"/>
      <c r="G46" s="47"/>
      <c r="H46" s="47"/>
      <c r="I46" s="157"/>
      <c r="J46" s="157"/>
      <c r="K46" s="157"/>
      <c r="L46" s="157" t="s">
        <v>16</v>
      </c>
      <c r="M46" s="157"/>
      <c r="N46" s="33">
        <f>IF(I46="V",$E46*I$15,IF(J46="V",$E46*J$15,IF(K46="V",$E46*K$15,IF(L46="V",$E46*L$15,IF(M46="V",$E46*M$15,0)))))*100</f>
        <v>8.0000000000000018</v>
      </c>
      <c r="O46" s="101"/>
    </row>
    <row r="47" spans="1:15" s="158" customFormat="1" ht="30" customHeight="1" x14ac:dyDescent="0.4">
      <c r="A47" s="99" t="s">
        <v>116</v>
      </c>
      <c r="B47" s="156" t="s">
        <v>6</v>
      </c>
      <c r="C47" s="101" t="s">
        <v>138</v>
      </c>
      <c r="D47" s="32" t="s">
        <v>81</v>
      </c>
      <c r="E47" s="46">
        <v>0.05</v>
      </c>
      <c r="F47" s="46"/>
      <c r="G47" s="47"/>
      <c r="H47" s="47"/>
      <c r="I47" s="157"/>
      <c r="J47" s="157"/>
      <c r="K47" s="157"/>
      <c r="L47" s="157"/>
      <c r="M47" s="157" t="s">
        <v>16</v>
      </c>
      <c r="N47" s="33">
        <f>IF(I47="V",$E47*I$15,IF(J47="V",$E47*J$15,IF(K47="V",$E47*K$15,IF(L47="V",$E47*L$15,IF(M47="V",$E47*M$15,0)))))*100</f>
        <v>5</v>
      </c>
      <c r="O47" s="101"/>
    </row>
    <row r="48" spans="1:15" s="158" customFormat="1" ht="30" customHeight="1" x14ac:dyDescent="0.4">
      <c r="A48" s="99" t="s">
        <v>117</v>
      </c>
      <c r="B48" s="156" t="s">
        <v>6</v>
      </c>
      <c r="C48" s="101" t="s">
        <v>137</v>
      </c>
      <c r="D48" s="32" t="s">
        <v>139</v>
      </c>
      <c r="E48" s="46">
        <v>7.4999999999999997E-2</v>
      </c>
      <c r="F48" s="46"/>
      <c r="G48" s="47"/>
      <c r="H48" s="47"/>
      <c r="I48" s="157"/>
      <c r="J48" s="157"/>
      <c r="K48" s="157"/>
      <c r="L48" s="157"/>
      <c r="M48" s="157" t="s">
        <v>16</v>
      </c>
      <c r="N48" s="33">
        <f>IF(I48="V",$E48*I$15,IF(J48="V",$E48*J$15,IF(K48="V",$E48*K$15,IF(L48="V",$E48*L$15,IF(M48="V",$E48*M$15,0)))))*100</f>
        <v>7.5</v>
      </c>
      <c r="O48" s="101"/>
    </row>
    <row r="49" spans="1:15" x14ac:dyDescent="0.4">
      <c r="A49" s="92"/>
      <c r="B49" s="100"/>
      <c r="C49" s="103"/>
      <c r="D49" s="30"/>
      <c r="E49" s="17"/>
      <c r="F49" s="17"/>
      <c r="G49" s="28"/>
      <c r="H49" s="28"/>
      <c r="I49" s="102"/>
      <c r="J49" s="102"/>
      <c r="K49" s="102"/>
      <c r="L49" s="102"/>
      <c r="M49" s="102"/>
      <c r="N49" s="16"/>
      <c r="O49" s="103"/>
    </row>
    <row r="50" spans="1:15" hidden="1" outlineLevel="1" x14ac:dyDescent="0.4">
      <c r="A50" s="92"/>
      <c r="B50" s="104">
        <v>2</v>
      </c>
      <c r="C50" s="103" t="s">
        <v>26</v>
      </c>
      <c r="D50" s="30"/>
      <c r="E50" s="17"/>
      <c r="F50" s="17"/>
      <c r="G50" s="28"/>
      <c r="H50" s="28"/>
      <c r="I50" s="102"/>
      <c r="J50" s="102"/>
      <c r="K50" s="102"/>
      <c r="L50" s="102"/>
      <c r="M50" s="102"/>
      <c r="N50" s="16"/>
      <c r="O50" s="103"/>
    </row>
    <row r="51" spans="1:15" hidden="1" outlineLevel="1" x14ac:dyDescent="0.4">
      <c r="A51" s="92"/>
      <c r="B51" s="100" t="s">
        <v>6</v>
      </c>
      <c r="C51" s="103" t="s">
        <v>54</v>
      </c>
      <c r="D51" s="30"/>
      <c r="E51" s="17"/>
      <c r="F51" s="17"/>
      <c r="G51" s="28"/>
      <c r="H51" s="28"/>
      <c r="I51" s="102"/>
      <c r="J51" s="102"/>
      <c r="K51" s="102"/>
      <c r="L51" s="102"/>
      <c r="M51" s="102"/>
      <c r="N51" s="16"/>
      <c r="O51" s="103"/>
    </row>
    <row r="52" spans="1:15" hidden="1" outlineLevel="1" x14ac:dyDescent="0.4">
      <c r="A52" s="92"/>
      <c r="B52" s="100" t="s">
        <v>6</v>
      </c>
      <c r="C52" s="103" t="s">
        <v>55</v>
      </c>
      <c r="D52" s="30"/>
      <c r="E52" s="17"/>
      <c r="F52" s="17"/>
      <c r="G52" s="28"/>
      <c r="H52" s="28"/>
      <c r="I52" s="102"/>
      <c r="J52" s="102"/>
      <c r="K52" s="102"/>
      <c r="L52" s="102"/>
      <c r="M52" s="102"/>
      <c r="N52" s="16"/>
      <c r="O52" s="103"/>
    </row>
    <row r="53" spans="1:15" hidden="1" outlineLevel="1" x14ac:dyDescent="0.4">
      <c r="A53" s="92"/>
      <c r="B53" s="100" t="s">
        <v>6</v>
      </c>
      <c r="C53" s="103" t="s">
        <v>56</v>
      </c>
      <c r="D53" s="30"/>
      <c r="E53" s="17"/>
      <c r="F53" s="17"/>
      <c r="G53" s="28"/>
      <c r="H53" s="28"/>
      <c r="I53" s="102"/>
      <c r="J53" s="102"/>
      <c r="K53" s="102"/>
      <c r="L53" s="102"/>
      <c r="M53" s="102"/>
      <c r="N53" s="16"/>
      <c r="O53" s="103"/>
    </row>
    <row r="54" spans="1:15" hidden="1" outlineLevel="1" x14ac:dyDescent="0.4">
      <c r="A54" s="92"/>
      <c r="B54" s="100"/>
      <c r="C54" s="103"/>
      <c r="D54" s="30"/>
      <c r="E54" s="17"/>
      <c r="F54" s="17"/>
      <c r="G54" s="28"/>
      <c r="H54" s="28"/>
      <c r="I54" s="102"/>
      <c r="J54" s="102"/>
      <c r="K54" s="102"/>
      <c r="L54" s="102"/>
      <c r="M54" s="102"/>
      <c r="N54" s="16"/>
      <c r="O54" s="103"/>
    </row>
    <row r="55" spans="1:15" hidden="1" outlineLevel="1" x14ac:dyDescent="0.4">
      <c r="A55" s="92"/>
      <c r="B55" s="104">
        <v>3</v>
      </c>
      <c r="C55" s="103" t="s">
        <v>27</v>
      </c>
      <c r="D55" s="30"/>
      <c r="E55" s="17"/>
      <c r="F55" s="17"/>
      <c r="G55" s="28"/>
      <c r="H55" s="28"/>
      <c r="I55" s="102"/>
      <c r="J55" s="102"/>
      <c r="K55" s="102"/>
      <c r="L55" s="102"/>
      <c r="M55" s="102"/>
      <c r="N55" s="16"/>
      <c r="O55" s="103"/>
    </row>
    <row r="56" spans="1:15" hidden="1" outlineLevel="1" x14ac:dyDescent="0.4">
      <c r="A56" s="92"/>
      <c r="B56" s="100" t="s">
        <v>6</v>
      </c>
      <c r="C56" s="103" t="s">
        <v>54</v>
      </c>
      <c r="D56" s="30"/>
      <c r="E56" s="17"/>
      <c r="F56" s="17"/>
      <c r="G56" s="28"/>
      <c r="H56" s="28"/>
      <c r="I56" s="102"/>
      <c r="J56" s="102"/>
      <c r="K56" s="102"/>
      <c r="L56" s="102"/>
      <c r="M56" s="102"/>
      <c r="N56" s="16"/>
      <c r="O56" s="103"/>
    </row>
    <row r="57" spans="1:15" hidden="1" outlineLevel="1" x14ac:dyDescent="0.4">
      <c r="A57" s="92"/>
      <c r="B57" s="100" t="s">
        <v>6</v>
      </c>
      <c r="C57" s="103" t="s">
        <v>56</v>
      </c>
      <c r="D57" s="30"/>
      <c r="E57" s="17"/>
      <c r="F57" s="17"/>
      <c r="G57" s="28"/>
      <c r="H57" s="28"/>
      <c r="I57" s="102"/>
      <c r="J57" s="102"/>
      <c r="K57" s="102"/>
      <c r="L57" s="102"/>
      <c r="M57" s="102"/>
      <c r="N57" s="16"/>
      <c r="O57" s="103"/>
    </row>
    <row r="58" spans="1:15" hidden="1" outlineLevel="1" x14ac:dyDescent="0.4">
      <c r="A58" s="92"/>
      <c r="B58" s="100" t="s">
        <v>6</v>
      </c>
      <c r="C58" s="103" t="s">
        <v>57</v>
      </c>
      <c r="D58" s="30"/>
      <c r="E58" s="17"/>
      <c r="F58" s="17"/>
      <c r="G58" s="28"/>
      <c r="H58" s="28"/>
      <c r="I58" s="102"/>
      <c r="J58" s="102"/>
      <c r="K58" s="102"/>
      <c r="L58" s="102"/>
      <c r="M58" s="102"/>
      <c r="N58" s="16"/>
      <c r="O58" s="103"/>
    </row>
    <row r="59" spans="1:15" hidden="1" outlineLevel="1" x14ac:dyDescent="0.4">
      <c r="A59" s="92"/>
      <c r="B59" s="104"/>
      <c r="C59" s="103"/>
      <c r="D59" s="30"/>
      <c r="E59" s="17"/>
      <c r="F59" s="17"/>
      <c r="G59" s="28"/>
      <c r="H59" s="28"/>
      <c r="I59" s="102"/>
      <c r="J59" s="102"/>
      <c r="K59" s="102"/>
      <c r="L59" s="102"/>
      <c r="M59" s="102"/>
      <c r="N59" s="16"/>
      <c r="O59" s="103"/>
    </row>
    <row r="60" spans="1:15" s="2" customFormat="1" collapsed="1" x14ac:dyDescent="0.4">
      <c r="A60" s="3"/>
      <c r="B60" s="48" t="s">
        <v>99</v>
      </c>
      <c r="C60" s="49" t="s">
        <v>46</v>
      </c>
      <c r="D60" s="50"/>
      <c r="E60" s="51">
        <f>SUM(E61:E64)</f>
        <v>0.15</v>
      </c>
      <c r="F60" s="51"/>
      <c r="G60" s="52"/>
      <c r="H60" s="52"/>
      <c r="I60" s="59"/>
      <c r="J60" s="59"/>
      <c r="K60" s="59"/>
      <c r="L60" s="59"/>
      <c r="M60" s="59"/>
      <c r="N60" s="54">
        <f>SUM(N61:N64)</f>
        <v>13.5</v>
      </c>
      <c r="O60" s="49"/>
    </row>
    <row r="61" spans="1:15" s="158" customFormat="1" ht="30" customHeight="1" x14ac:dyDescent="0.4">
      <c r="A61" s="99" t="s">
        <v>118</v>
      </c>
      <c r="B61" s="156" t="s">
        <v>6</v>
      </c>
      <c r="C61" s="101" t="s">
        <v>95</v>
      </c>
      <c r="D61" s="32" t="s">
        <v>144</v>
      </c>
      <c r="E61" s="46">
        <v>7.4999999999999997E-2</v>
      </c>
      <c r="F61" s="46"/>
      <c r="G61" s="47"/>
      <c r="H61" s="47"/>
      <c r="I61" s="157"/>
      <c r="J61" s="157"/>
      <c r="K61" s="157"/>
      <c r="L61" s="157" t="s">
        <v>16</v>
      </c>
      <c r="M61" s="157"/>
      <c r="N61" s="33">
        <f t="shared" ref="N61:N63" si="4">IF(I61="V",$E61*I$15,IF(J61="V",$E61*J$15,IF(K61="V",$E61*K$15,IF(L61="V",$E61*L$15,IF(M61="V",$E61*M$15,0)))))*100</f>
        <v>6</v>
      </c>
      <c r="O61" s="101"/>
    </row>
    <row r="62" spans="1:15" s="158" customFormat="1" ht="30" customHeight="1" x14ac:dyDescent="0.4">
      <c r="A62" s="99" t="s">
        <v>119</v>
      </c>
      <c r="B62" s="156" t="s">
        <v>6</v>
      </c>
      <c r="C62" s="101" t="s">
        <v>47</v>
      </c>
      <c r="D62" s="32" t="s">
        <v>82</v>
      </c>
      <c r="E62" s="46">
        <v>0.05</v>
      </c>
      <c r="F62" s="46"/>
      <c r="G62" s="47"/>
      <c r="H62" s="47"/>
      <c r="I62" s="157"/>
      <c r="J62" s="157"/>
      <c r="K62" s="157"/>
      <c r="L62" s="157"/>
      <c r="M62" s="157" t="s">
        <v>16</v>
      </c>
      <c r="N62" s="33">
        <f t="shared" si="4"/>
        <v>5</v>
      </c>
      <c r="O62" s="101"/>
    </row>
    <row r="63" spans="1:15" s="158" customFormat="1" ht="29.15" x14ac:dyDescent="0.4">
      <c r="A63" s="99" t="s">
        <v>120</v>
      </c>
      <c r="B63" s="156" t="s">
        <v>6</v>
      </c>
      <c r="C63" s="101" t="s">
        <v>135</v>
      </c>
      <c r="D63" s="32" t="s">
        <v>136</v>
      </c>
      <c r="E63" s="46">
        <v>2.5000000000000001E-2</v>
      </c>
      <c r="F63" s="46"/>
      <c r="G63" s="47"/>
      <c r="H63" s="47"/>
      <c r="I63" s="157"/>
      <c r="J63" s="157"/>
      <c r="K63" s="157"/>
      <c r="L63" s="157"/>
      <c r="M63" s="157" t="s">
        <v>16</v>
      </c>
      <c r="N63" s="33">
        <f t="shared" si="4"/>
        <v>2.5</v>
      </c>
      <c r="O63" s="101"/>
    </row>
    <row r="64" spans="1:15" x14ac:dyDescent="0.4">
      <c r="A64" s="92"/>
      <c r="B64" s="104"/>
      <c r="C64" s="103"/>
      <c r="D64" s="30"/>
      <c r="E64" s="17"/>
      <c r="F64" s="17"/>
      <c r="G64" s="28"/>
      <c r="H64" s="28"/>
      <c r="I64" s="102"/>
      <c r="J64" s="102"/>
      <c r="K64" s="102"/>
      <c r="L64" s="102"/>
      <c r="M64" s="102"/>
      <c r="N64" s="16"/>
      <c r="O64" s="103"/>
    </row>
    <row r="65" spans="1:15" s="2" customFormat="1" x14ac:dyDescent="0.4">
      <c r="A65" s="3"/>
      <c r="B65" s="48" t="s">
        <v>100</v>
      </c>
      <c r="C65" s="49" t="s">
        <v>48</v>
      </c>
      <c r="D65" s="50"/>
      <c r="E65" s="51">
        <f>SUM(E66:E68)</f>
        <v>0.05</v>
      </c>
      <c r="F65" s="51"/>
      <c r="G65" s="52"/>
      <c r="H65" s="52"/>
      <c r="I65" s="59"/>
      <c r="J65" s="59"/>
      <c r="K65" s="59"/>
      <c r="L65" s="59"/>
      <c r="M65" s="59"/>
      <c r="N65" s="54">
        <f>SUM(N66:N68)</f>
        <v>4.2</v>
      </c>
      <c r="O65" s="49"/>
    </row>
    <row r="66" spans="1:15" s="158" customFormat="1" ht="30" customHeight="1" x14ac:dyDescent="0.4">
      <c r="A66" s="99" t="s">
        <v>121</v>
      </c>
      <c r="B66" s="156" t="s">
        <v>6</v>
      </c>
      <c r="C66" s="101" t="s">
        <v>60</v>
      </c>
      <c r="D66" s="32" t="s">
        <v>85</v>
      </c>
      <c r="E66" s="46">
        <v>0.04</v>
      </c>
      <c r="F66" s="46"/>
      <c r="G66" s="47"/>
      <c r="H66" s="47"/>
      <c r="I66" s="157"/>
      <c r="J66" s="157"/>
      <c r="K66" s="157"/>
      <c r="L66" s="157" t="s">
        <v>16</v>
      </c>
      <c r="M66" s="157"/>
      <c r="N66" s="33">
        <f t="shared" ref="N66:N67" si="5">IF(I66="V",$E66*I$15,IF(J66="V",$E66*J$15,IF(K66="V",$E66*K$15,IF(L66="V",$E66*L$15,IF(M66="V",$E66*M$15,0)))))*100</f>
        <v>3.2</v>
      </c>
      <c r="O66" s="101"/>
    </row>
    <row r="67" spans="1:15" s="158" customFormat="1" ht="30" customHeight="1" x14ac:dyDescent="0.4">
      <c r="A67" s="99" t="s">
        <v>122</v>
      </c>
      <c r="B67" s="156" t="s">
        <v>6</v>
      </c>
      <c r="C67" s="101" t="s">
        <v>59</v>
      </c>
      <c r="D67" s="32" t="s">
        <v>86</v>
      </c>
      <c r="E67" s="46">
        <v>0.01</v>
      </c>
      <c r="F67" s="46"/>
      <c r="G67" s="47"/>
      <c r="H67" s="47"/>
      <c r="I67" s="157"/>
      <c r="J67" s="157"/>
      <c r="K67" s="157"/>
      <c r="L67" s="157"/>
      <c r="M67" s="157" t="s">
        <v>16</v>
      </c>
      <c r="N67" s="33">
        <f t="shared" si="5"/>
        <v>1</v>
      </c>
      <c r="O67" s="101"/>
    </row>
    <row r="68" spans="1:15" s="158" customFormat="1" x14ac:dyDescent="0.4">
      <c r="A68" s="99"/>
      <c r="B68" s="157"/>
      <c r="C68" s="101"/>
      <c r="D68" s="32"/>
      <c r="E68" s="46"/>
      <c r="F68" s="46"/>
      <c r="G68" s="47"/>
      <c r="H68" s="47"/>
      <c r="I68" s="157"/>
      <c r="J68" s="157"/>
      <c r="K68" s="157"/>
      <c r="L68" s="157"/>
      <c r="M68" s="157"/>
      <c r="N68" s="33"/>
      <c r="O68" s="101"/>
    </row>
    <row r="69" spans="1:15" s="2" customFormat="1" x14ac:dyDescent="0.4">
      <c r="A69" s="3"/>
      <c r="B69" s="48" t="s">
        <v>101</v>
      </c>
      <c r="C69" s="49" t="s">
        <v>134</v>
      </c>
      <c r="D69" s="50"/>
      <c r="E69" s="51">
        <f>SUM(E70:E70)</f>
        <v>0.05</v>
      </c>
      <c r="F69" s="51"/>
      <c r="G69" s="52"/>
      <c r="H69" s="52"/>
      <c r="I69" s="59"/>
      <c r="J69" s="59"/>
      <c r="K69" s="59"/>
      <c r="L69" s="59"/>
      <c r="M69" s="59"/>
      <c r="N69" s="54">
        <f>SUM(N70)</f>
        <v>3</v>
      </c>
      <c r="O69" s="49"/>
    </row>
    <row r="70" spans="1:15" s="158" customFormat="1" ht="30" customHeight="1" x14ac:dyDescent="0.4">
      <c r="A70" s="99" t="s">
        <v>123</v>
      </c>
      <c r="B70" s="156" t="s">
        <v>6</v>
      </c>
      <c r="C70" s="101" t="s">
        <v>49</v>
      </c>
      <c r="D70" s="32" t="s">
        <v>154</v>
      </c>
      <c r="E70" s="46">
        <v>0.05</v>
      </c>
      <c r="F70" s="46"/>
      <c r="G70" s="47"/>
      <c r="H70" s="47"/>
      <c r="I70" s="157"/>
      <c r="J70" s="157"/>
      <c r="K70" s="157" t="s">
        <v>16</v>
      </c>
      <c r="L70" s="157"/>
      <c r="M70" s="157"/>
      <c r="N70" s="33">
        <f t="shared" ref="N70" si="6">IF(I70="V",$E70*I$15,IF(J70="V",$E70*J$15,IF(K70="V",$E70*K$15,IF(L70="V",$E70*L$15,IF(M70="V",$E70*M$15,0)))))*100</f>
        <v>3</v>
      </c>
      <c r="O70" s="101"/>
    </row>
    <row r="71" spans="1:15" x14ac:dyDescent="0.4">
      <c r="B71" s="105"/>
      <c r="C71" s="106"/>
      <c r="D71" s="31"/>
      <c r="E71" s="22"/>
      <c r="F71" s="22"/>
      <c r="G71" s="29"/>
      <c r="H71" s="29"/>
      <c r="I71" s="107"/>
      <c r="J71" s="107"/>
      <c r="K71" s="107"/>
      <c r="L71" s="107"/>
      <c r="M71" s="107"/>
      <c r="N71" s="21"/>
      <c r="O71" s="106"/>
    </row>
    <row r="73" spans="1:15" x14ac:dyDescent="0.4">
      <c r="I73" s="26" t="s">
        <v>61</v>
      </c>
    </row>
    <row r="74" spans="1:15" x14ac:dyDescent="0.4">
      <c r="I74" s="94" t="s">
        <v>39</v>
      </c>
      <c r="J74" s="94" t="s">
        <v>29</v>
      </c>
      <c r="K74" s="95" t="s">
        <v>69</v>
      </c>
    </row>
    <row r="75" spans="1:15" x14ac:dyDescent="0.4">
      <c r="I75" s="94" t="s">
        <v>40</v>
      </c>
      <c r="J75" s="94" t="s">
        <v>29</v>
      </c>
      <c r="K75" s="95" t="s">
        <v>70</v>
      </c>
    </row>
    <row r="76" spans="1:15" x14ac:dyDescent="0.4">
      <c r="I76" s="94" t="s">
        <v>41</v>
      </c>
      <c r="J76" s="94" t="s">
        <v>29</v>
      </c>
      <c r="K76" s="95" t="s">
        <v>71</v>
      </c>
    </row>
    <row r="77" spans="1:15" x14ac:dyDescent="0.4">
      <c r="I77" s="94" t="s">
        <v>42</v>
      </c>
      <c r="J77" s="94" t="s">
        <v>29</v>
      </c>
      <c r="K77" s="95" t="s">
        <v>72</v>
      </c>
    </row>
    <row r="78" spans="1:15" x14ac:dyDescent="0.4">
      <c r="I78" s="94" t="s">
        <v>43</v>
      </c>
      <c r="J78" s="94" t="s">
        <v>29</v>
      </c>
      <c r="K78" s="95" t="s">
        <v>73</v>
      </c>
    </row>
  </sheetData>
  <mergeCells count="9">
    <mergeCell ref="O13:O14"/>
    <mergeCell ref="D13:D14"/>
    <mergeCell ref="G13:H13"/>
    <mergeCell ref="A13:A14"/>
    <mergeCell ref="B13:B14"/>
    <mergeCell ref="C13:C14"/>
    <mergeCell ref="E13:E14"/>
    <mergeCell ref="I13:M13"/>
    <mergeCell ref="N13:N1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3089-86C5-474F-9AAB-A6163E6F8B72}">
  <sheetPr>
    <tabColor rgb="FFFF0000"/>
  </sheetPr>
  <dimension ref="A1:K21"/>
  <sheetViews>
    <sheetView tabSelected="1" zoomScaleNormal="100" workbookViewId="0">
      <pane xSplit="1" ySplit="7" topLeftCell="B8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N26" sqref="N26"/>
    </sheetView>
  </sheetViews>
  <sheetFormatPr defaultRowHeight="14.6" x14ac:dyDescent="0.4"/>
  <cols>
    <col min="1" max="1" width="4.53515625" style="93" customWidth="1"/>
    <col min="2" max="2" width="4.3828125" style="92" bestFit="1" customWidth="1"/>
    <col min="3" max="3" width="20.69140625" style="93" bestFit="1" customWidth="1"/>
    <col min="4" max="4" width="25" style="4" bestFit="1" customWidth="1"/>
    <col min="5" max="5" width="7.69140625" style="94" customWidth="1"/>
    <col min="6" max="6" width="9.23046875" style="94" bestFit="1" customWidth="1"/>
    <col min="7" max="7" width="9.61328125" style="94" bestFit="1" customWidth="1"/>
    <col min="8" max="8" width="10.15234375" style="94" bestFit="1" customWidth="1"/>
    <col min="9" max="9" width="9.15234375" style="4"/>
    <col min="10" max="10" width="16.84375" style="93" customWidth="1"/>
    <col min="11" max="11" width="20.53515625" style="93" customWidth="1"/>
    <col min="12" max="16384" width="9.23046875" style="93"/>
  </cols>
  <sheetData>
    <row r="1" spans="1:11" x14ac:dyDescent="0.4">
      <c r="A1" s="2" t="s">
        <v>125</v>
      </c>
    </row>
    <row r="2" spans="1:11" x14ac:dyDescent="0.4">
      <c r="A2" s="2" t="s">
        <v>0</v>
      </c>
    </row>
    <row r="4" spans="1:11" ht="18.45" x14ac:dyDescent="0.5">
      <c r="B4" s="72" t="s">
        <v>133</v>
      </c>
      <c r="C4" s="72"/>
      <c r="D4" s="72"/>
      <c r="E4" s="72"/>
      <c r="F4" s="72"/>
      <c r="G4" s="72"/>
      <c r="H4" s="72"/>
      <c r="I4" s="72"/>
      <c r="J4" s="72"/>
      <c r="K4" s="72"/>
    </row>
    <row r="6" spans="1:11" s="2" customFormat="1" x14ac:dyDescent="0.4">
      <c r="B6" s="68" t="s">
        <v>2</v>
      </c>
      <c r="C6" s="68" t="s">
        <v>126</v>
      </c>
      <c r="D6" s="73" t="s">
        <v>127</v>
      </c>
      <c r="E6" s="75" t="s">
        <v>37</v>
      </c>
      <c r="F6" s="76"/>
      <c r="G6" s="76"/>
      <c r="H6" s="77"/>
      <c r="I6" s="65" t="s">
        <v>17</v>
      </c>
      <c r="J6" s="66" t="s">
        <v>61</v>
      </c>
      <c r="K6" s="66" t="s">
        <v>140</v>
      </c>
    </row>
    <row r="7" spans="1:11" s="2" customFormat="1" x14ac:dyDescent="0.4">
      <c r="B7" s="68"/>
      <c r="C7" s="96"/>
      <c r="D7" s="74"/>
      <c r="E7" s="41" t="s">
        <v>68</v>
      </c>
      <c r="F7" s="41" t="s">
        <v>236</v>
      </c>
      <c r="G7" s="41" t="s">
        <v>237</v>
      </c>
      <c r="H7" s="41" t="s">
        <v>96</v>
      </c>
      <c r="I7" s="65"/>
      <c r="J7" s="66"/>
      <c r="K7" s="66"/>
    </row>
    <row r="8" spans="1:11" s="2" customFormat="1" x14ac:dyDescent="0.4">
      <c r="A8" s="3"/>
      <c r="B8" s="10"/>
      <c r="C8" s="10"/>
      <c r="D8" s="10"/>
      <c r="E8" s="12"/>
      <c r="F8" s="12"/>
      <c r="G8" s="12"/>
      <c r="H8" s="12"/>
      <c r="I8" s="61"/>
      <c r="J8" s="13"/>
      <c r="K8" s="13"/>
    </row>
    <row r="9" spans="1:11" s="158" customFormat="1" x14ac:dyDescent="0.4">
      <c r="A9" s="99"/>
      <c r="B9" s="156">
        <v>1</v>
      </c>
      <c r="C9" s="101" t="s">
        <v>148</v>
      </c>
      <c r="D9" s="32" t="s">
        <v>132</v>
      </c>
      <c r="E9" s="159">
        <f>'HASIL-DIAN'!G16</f>
        <v>90.5</v>
      </c>
      <c r="F9" s="159">
        <f>'HASIL-DIAN'!H16</f>
        <v>88</v>
      </c>
      <c r="G9" s="159"/>
      <c r="H9" s="159">
        <f>'HASIL-DIAN'!J16</f>
        <v>75.7</v>
      </c>
      <c r="I9" s="160">
        <f>'HASIL-DIAN'!K16</f>
        <v>86.233333333333334</v>
      </c>
      <c r="J9" s="101" t="str">
        <f>IF(I9&gt;=70,"LULUS",IF(I9&gt;=60,"LULUS DENGAN CATATAN",IF(I9&lt;60,"TIDAK LULUS",0)))</f>
        <v>LULUS</v>
      </c>
      <c r="K9" s="101" t="s">
        <v>238</v>
      </c>
    </row>
    <row r="10" spans="1:11" s="158" customFormat="1" x14ac:dyDescent="0.4">
      <c r="A10" s="99"/>
      <c r="B10" s="156">
        <f>B9+1</f>
        <v>2</v>
      </c>
      <c r="C10" s="101" t="s">
        <v>30</v>
      </c>
      <c r="D10" s="32" t="s">
        <v>131</v>
      </c>
      <c r="E10" s="159">
        <f>'HASIL-DENY'!G16</f>
        <v>88</v>
      </c>
      <c r="F10" s="159">
        <f>'HASIL-DENY'!H16</f>
        <v>86</v>
      </c>
      <c r="G10" s="159">
        <f>'HASIL-DENY'!I16</f>
        <v>83</v>
      </c>
      <c r="H10" s="159">
        <f>'HASIL-DENY'!J16</f>
        <v>77</v>
      </c>
      <c r="I10" s="160">
        <f>'HASIL-DENY'!K16</f>
        <v>84.75</v>
      </c>
      <c r="J10" s="101" t="str">
        <f>IF(I10&gt;=70,"LULUS",IF(I10&gt;=60,"LULUS DENGAN CATATAN",IF(I10&lt;60,"TIDAK LULUS",0)))</f>
        <v>LULUS</v>
      </c>
      <c r="K10" s="101" t="s">
        <v>239</v>
      </c>
    </row>
    <row r="11" spans="1:11" s="158" customFormat="1" x14ac:dyDescent="0.4">
      <c r="A11" s="99"/>
      <c r="B11" s="156">
        <f t="shared" ref="B11:B13" si="0">B10+1</f>
        <v>3</v>
      </c>
      <c r="C11" s="101" t="s">
        <v>162</v>
      </c>
      <c r="D11" s="32" t="s">
        <v>131</v>
      </c>
      <c r="E11" s="159">
        <f>'HASIL-IMAN'!G16</f>
        <v>79.7</v>
      </c>
      <c r="F11" s="159">
        <f>'HASIL-IMAN'!H16</f>
        <v>81.900000000000006</v>
      </c>
      <c r="G11" s="159">
        <f>'HASIL-IMAN'!I16</f>
        <v>78.599999999999994</v>
      </c>
      <c r="H11" s="159">
        <f>'HASIL-IMAN'!J16</f>
        <v>67.2</v>
      </c>
      <c r="I11" s="160">
        <f>'HASIL-IMAN'!K16</f>
        <v>77.933333333333323</v>
      </c>
      <c r="J11" s="101" t="str">
        <f>IF(I11&gt;=70,"LULUS",IF(I11&gt;=60,"LULUS DENGAN CATATAN",IF(I11&lt;60,"TIDAK LULUS",0)))</f>
        <v>LULUS</v>
      </c>
      <c r="K11" s="101" t="s">
        <v>240</v>
      </c>
    </row>
    <row r="12" spans="1:11" s="158" customFormat="1" x14ac:dyDescent="0.4">
      <c r="A12" s="99"/>
      <c r="B12" s="156">
        <f t="shared" si="0"/>
        <v>4</v>
      </c>
      <c r="C12" s="101" t="s">
        <v>130</v>
      </c>
      <c r="D12" s="32" t="s">
        <v>131</v>
      </c>
      <c r="E12" s="159">
        <f>'HASIL-OPIK'!G16</f>
        <v>91</v>
      </c>
      <c r="F12" s="159">
        <f>'HASIL-OPIK'!H16</f>
        <v>70</v>
      </c>
      <c r="G12" s="159">
        <f>'HASIL-OPIK'!I16</f>
        <v>81.5</v>
      </c>
      <c r="H12" s="159">
        <f>'HASIL-OPIK'!J16</f>
        <v>64.3</v>
      </c>
      <c r="I12" s="160">
        <f>'HASIL-OPIK'!K16</f>
        <v>77.616666666666674</v>
      </c>
      <c r="J12" s="101" t="str">
        <f>IF(I12&gt;=70,"LULUS",IF(I12&gt;=60,"LULUS DENGAN CATATAN",IF(I12&lt;60,"TIDAK LULUS",0)))</f>
        <v>LULUS</v>
      </c>
      <c r="K12" s="101" t="s">
        <v>239</v>
      </c>
    </row>
    <row r="13" spans="1:11" s="158" customFormat="1" x14ac:dyDescent="0.4">
      <c r="A13" s="99"/>
      <c r="B13" s="156">
        <f t="shared" si="0"/>
        <v>5</v>
      </c>
      <c r="C13" s="101" t="s">
        <v>129</v>
      </c>
      <c r="D13" s="32" t="s">
        <v>131</v>
      </c>
      <c r="E13" s="159">
        <f>'HASIL-SADAM'!G16</f>
        <v>48.7</v>
      </c>
      <c r="F13" s="159">
        <f>'HASIL-SADAM'!H16</f>
        <v>57.5</v>
      </c>
      <c r="G13" s="159">
        <f>'HASIL-SADAM'!I16</f>
        <v>59</v>
      </c>
      <c r="H13" s="159">
        <f>'HASIL-SADAM'!J16</f>
        <v>60.9</v>
      </c>
      <c r="I13" s="161">
        <f>'HASIL-SADAM'!K16</f>
        <v>57.524999999999999</v>
      </c>
      <c r="J13" s="101" t="str">
        <f>IF(I13&gt;=70,"LULUS",IF(I13&gt;=60,"LULUS DENGAN CATATAN",IF(I13&lt;60,"TIDAK LULUS",0)))</f>
        <v>TIDAK LULUS</v>
      </c>
      <c r="K13" s="101"/>
    </row>
    <row r="14" spans="1:11" x14ac:dyDescent="0.4">
      <c r="B14" s="105"/>
      <c r="C14" s="106"/>
      <c r="D14" s="31"/>
      <c r="E14" s="107"/>
      <c r="F14" s="107"/>
      <c r="G14" s="107"/>
      <c r="H14" s="107"/>
      <c r="I14" s="64"/>
      <c r="J14" s="106"/>
      <c r="K14" s="106"/>
    </row>
    <row r="16" spans="1:11" x14ac:dyDescent="0.4">
      <c r="E16" s="26"/>
    </row>
    <row r="17" spans="7:8" x14ac:dyDescent="0.4">
      <c r="G17" s="95"/>
      <c r="H17" s="95"/>
    </row>
    <row r="18" spans="7:8" x14ac:dyDescent="0.4">
      <c r="G18" s="95"/>
      <c r="H18" s="95"/>
    </row>
    <row r="19" spans="7:8" x14ac:dyDescent="0.4">
      <c r="G19" s="95"/>
      <c r="H19" s="95"/>
    </row>
    <row r="20" spans="7:8" x14ac:dyDescent="0.4">
      <c r="G20" s="95"/>
      <c r="H20" s="95"/>
    </row>
    <row r="21" spans="7:8" x14ac:dyDescent="0.4">
      <c r="G21" s="95"/>
      <c r="H21" s="95"/>
    </row>
  </sheetData>
  <sortState xmlns:xlrd2="http://schemas.microsoft.com/office/spreadsheetml/2017/richdata2" ref="C9:J13">
    <sortCondition descending="1" ref="I9:I13"/>
  </sortState>
  <mergeCells count="8">
    <mergeCell ref="J6:J7"/>
    <mergeCell ref="K6:K7"/>
    <mergeCell ref="B4:K4"/>
    <mergeCell ref="B6:B7"/>
    <mergeCell ref="C6:C7"/>
    <mergeCell ref="D6:D7"/>
    <mergeCell ref="E6:H6"/>
    <mergeCell ref="I6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BBFF-2F81-454A-A625-1DA7F72EDAC4}">
  <sheetPr>
    <tabColor rgb="FFFF0000"/>
  </sheetPr>
  <dimension ref="A1:L78"/>
  <sheetViews>
    <sheetView zoomScaleNormal="100" workbookViewId="0">
      <pane xSplit="1" ySplit="14" topLeftCell="B15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L13" sqref="L13:L14"/>
    </sheetView>
  </sheetViews>
  <sheetFormatPr defaultRowHeight="14.6" outlineLevelRow="1" x14ac:dyDescent="0.4"/>
  <cols>
    <col min="1" max="1" width="17.69140625" style="93" customWidth="1"/>
    <col min="2" max="2" width="4.3828125" style="92" bestFit="1" customWidth="1"/>
    <col min="3" max="3" width="40.15234375" style="93" bestFit="1" customWidth="1"/>
    <col min="4" max="4" width="70.69140625" style="4" customWidth="1"/>
    <col min="5" max="5" width="9.15234375" style="5"/>
    <col min="6" max="6" width="1.69140625" style="5" customWidth="1"/>
    <col min="7" max="9" width="7.69140625" style="94" customWidth="1"/>
    <col min="10" max="10" width="10.15234375" style="94" bestFit="1" customWidth="1"/>
    <col min="11" max="11" width="9.15234375" style="4"/>
    <col min="12" max="12" width="16.84375" style="93" customWidth="1"/>
    <col min="13" max="16384" width="9.23046875" style="93"/>
  </cols>
  <sheetData>
    <row r="1" spans="1:12" x14ac:dyDescent="0.4">
      <c r="A1" s="2" t="s">
        <v>125</v>
      </c>
    </row>
    <row r="2" spans="1:12" x14ac:dyDescent="0.4">
      <c r="A2" s="2" t="s">
        <v>0</v>
      </c>
    </row>
    <row r="5" spans="1:12" x14ac:dyDescent="0.4">
      <c r="A5" s="2" t="s">
        <v>1</v>
      </c>
      <c r="B5" s="92" t="s">
        <v>29</v>
      </c>
      <c r="C5" s="2" t="s">
        <v>129</v>
      </c>
    </row>
    <row r="6" spans="1:12" x14ac:dyDescent="0.4">
      <c r="A6" s="2" t="s">
        <v>20</v>
      </c>
      <c r="B6" s="92" t="s">
        <v>29</v>
      </c>
      <c r="C6" s="93" t="s">
        <v>31</v>
      </c>
    </row>
    <row r="7" spans="1:12" x14ac:dyDescent="0.4">
      <c r="A7" s="2" t="s">
        <v>32</v>
      </c>
      <c r="B7" s="92" t="s">
        <v>29</v>
      </c>
      <c r="C7" s="93" t="s">
        <v>33</v>
      </c>
    </row>
    <row r="8" spans="1:12" x14ac:dyDescent="0.4">
      <c r="A8" s="2" t="s">
        <v>34</v>
      </c>
      <c r="B8" s="92" t="s">
        <v>29</v>
      </c>
      <c r="C8" s="93" t="s">
        <v>35</v>
      </c>
    </row>
    <row r="9" spans="1:12" x14ac:dyDescent="0.4">
      <c r="A9" s="2" t="s">
        <v>28</v>
      </c>
      <c r="B9" s="92" t="s">
        <v>29</v>
      </c>
      <c r="C9" s="93" t="s">
        <v>83</v>
      </c>
    </row>
    <row r="10" spans="1:12" x14ac:dyDescent="0.4">
      <c r="A10" s="2" t="s">
        <v>68</v>
      </c>
      <c r="B10" s="92" t="s">
        <v>29</v>
      </c>
      <c r="C10" s="2" t="s">
        <v>62</v>
      </c>
    </row>
    <row r="11" spans="1:12" x14ac:dyDescent="0.4">
      <c r="A11" s="2" t="s">
        <v>67</v>
      </c>
      <c r="B11" s="92" t="s">
        <v>29</v>
      </c>
      <c r="C11" s="24">
        <f>K16</f>
        <v>57.524999999999999</v>
      </c>
    </row>
    <row r="13" spans="1:12" s="2" customFormat="1" x14ac:dyDescent="0.4">
      <c r="A13" s="67" t="s">
        <v>124</v>
      </c>
      <c r="B13" s="68" t="s">
        <v>2</v>
      </c>
      <c r="C13" s="68" t="s">
        <v>3</v>
      </c>
      <c r="D13" s="73" t="s">
        <v>74</v>
      </c>
      <c r="E13" s="70" t="s">
        <v>19</v>
      </c>
      <c r="F13" s="42"/>
      <c r="G13" s="75" t="s">
        <v>37</v>
      </c>
      <c r="H13" s="76"/>
      <c r="I13" s="76"/>
      <c r="J13" s="77"/>
      <c r="K13" s="65" t="s">
        <v>17</v>
      </c>
      <c r="L13" s="66" t="s">
        <v>61</v>
      </c>
    </row>
    <row r="14" spans="1:12" s="2" customFormat="1" x14ac:dyDescent="0.4">
      <c r="A14" s="67"/>
      <c r="B14" s="68"/>
      <c r="C14" s="96"/>
      <c r="D14" s="74"/>
      <c r="E14" s="71"/>
      <c r="F14" s="44"/>
      <c r="G14" s="41" t="s">
        <v>68</v>
      </c>
      <c r="H14" s="41" t="s">
        <v>93</v>
      </c>
      <c r="I14" s="41" t="s">
        <v>94</v>
      </c>
      <c r="J14" s="41" t="s">
        <v>96</v>
      </c>
      <c r="K14" s="65"/>
      <c r="L14" s="66"/>
    </row>
    <row r="15" spans="1:12" s="2" customFormat="1" x14ac:dyDescent="0.4">
      <c r="A15" s="3"/>
      <c r="B15" s="10"/>
      <c r="C15" s="10"/>
      <c r="D15" s="10"/>
      <c r="E15" s="10"/>
      <c r="F15" s="9"/>
      <c r="G15" s="12"/>
      <c r="H15" s="12"/>
      <c r="I15" s="12"/>
      <c r="J15" s="12"/>
      <c r="K15" s="8"/>
      <c r="L15" s="13"/>
    </row>
    <row r="16" spans="1:12" s="2" customFormat="1" x14ac:dyDescent="0.4">
      <c r="B16" s="34"/>
      <c r="C16" s="35" t="s">
        <v>65</v>
      </c>
      <c r="D16" s="36"/>
      <c r="E16" s="37">
        <f>E17+E21+E27+E43+E60+E65+E69</f>
        <v>1</v>
      </c>
      <c r="F16" s="37"/>
      <c r="G16" s="40">
        <f t="shared" ref="G16:I16" si="0">G17+G21+G27+G43+G60+G65+G69</f>
        <v>48.7</v>
      </c>
      <c r="H16" s="40">
        <f t="shared" si="0"/>
        <v>57.5</v>
      </c>
      <c r="I16" s="40">
        <f t="shared" si="0"/>
        <v>59</v>
      </c>
      <c r="J16" s="40">
        <f>J17+J21+J27+J43+J60+J65+J69</f>
        <v>60.9</v>
      </c>
      <c r="K16" s="40">
        <f>K17+K21+K27+K43+K60+K65+K69</f>
        <v>57.524999999999999</v>
      </c>
      <c r="L16" s="35"/>
    </row>
    <row r="17" spans="1:12" x14ac:dyDescent="0.4">
      <c r="B17" s="48" t="s">
        <v>66</v>
      </c>
      <c r="C17" s="49" t="s">
        <v>4</v>
      </c>
      <c r="D17" s="50"/>
      <c r="E17" s="51">
        <f>SUM(E18:E19)</f>
        <v>0.1</v>
      </c>
      <c r="F17" s="51"/>
      <c r="G17" s="54">
        <f t="shared" ref="G17:J17" si="1">SUM(G18:G20)</f>
        <v>0</v>
      </c>
      <c r="H17" s="54">
        <f t="shared" si="1"/>
        <v>0</v>
      </c>
      <c r="I17" s="54">
        <f t="shared" si="1"/>
        <v>4</v>
      </c>
      <c r="J17" s="54">
        <f t="shared" si="1"/>
        <v>4</v>
      </c>
      <c r="K17" s="54">
        <f>SUM(K18:K20)</f>
        <v>2</v>
      </c>
      <c r="L17" s="98"/>
    </row>
    <row r="18" spans="1:12" s="158" customFormat="1" ht="30" customHeight="1" x14ac:dyDescent="0.4">
      <c r="A18" s="99" t="s">
        <v>102</v>
      </c>
      <c r="B18" s="156">
        <v>1</v>
      </c>
      <c r="C18" s="101" t="str">
        <f>VLOOKUP($A18,PERTANYAAN!$A$18:$E$71,3,0)</f>
        <v>Pengalaman di dalam Daniswara Group</v>
      </c>
      <c r="D18" s="101" t="str">
        <f>VLOOKUP($A18,PERTANYAAN!$A$18:$E$71,4,0)</f>
        <v>Apakah ada Pengalaman di Daniswara Group? Bagaimana pandangan anda terkait Daniswara Group?</v>
      </c>
      <c r="E18" s="46">
        <f>VLOOKUP($A18,PERTANYAAN!$A$18:$E$71,5,0)</f>
        <v>0.06</v>
      </c>
      <c r="F18" s="46"/>
      <c r="G18" s="159">
        <f>'HR (SADAM)'!M18</f>
        <v>0</v>
      </c>
      <c r="H18" s="159">
        <f>'USER1-SADAM'!M18</f>
        <v>0</v>
      </c>
      <c r="I18" s="159">
        <f>'USER2-SADAM'!M18</f>
        <v>0</v>
      </c>
      <c r="J18" s="159">
        <f>'MANAGER-SADAM'!M18</f>
        <v>0</v>
      </c>
      <c r="K18" s="33">
        <f>AVERAGE(G18:J18)</f>
        <v>0</v>
      </c>
      <c r="L18" s="101"/>
    </row>
    <row r="19" spans="1:12" s="158" customFormat="1" ht="30" customHeight="1" x14ac:dyDescent="0.4">
      <c r="A19" s="99" t="s">
        <v>103</v>
      </c>
      <c r="B19" s="156">
        <f>B18+1</f>
        <v>2</v>
      </c>
      <c r="C19" s="101" t="str">
        <f>VLOOKUP($A19,PERTANYAAN!$A$18:$E$71,3,0)</f>
        <v>Pengalaman di luar Daniswara Group</v>
      </c>
      <c r="D19" s="101" t="str">
        <f>VLOOKUP($A19,PERTANYAAN!$A$18:$E$71,4,0)</f>
        <v>Jika tidak, apakah sudah ada pengalaman sejenis di luar Daniswara?</v>
      </c>
      <c r="E19" s="46">
        <f>VLOOKUP($A19,PERTANYAAN!$A$18:$E$71,5,0)</f>
        <v>0.04</v>
      </c>
      <c r="F19" s="46"/>
      <c r="G19" s="159">
        <f>'HR (SADAM)'!M19</f>
        <v>0</v>
      </c>
      <c r="H19" s="159">
        <f>'USER1-SADAM'!M19</f>
        <v>0</v>
      </c>
      <c r="I19" s="159">
        <f>'USER2-SADAM'!M19</f>
        <v>4</v>
      </c>
      <c r="J19" s="159">
        <f>'MANAGER-SADAM'!M19</f>
        <v>4</v>
      </c>
      <c r="K19" s="33">
        <f t="shared" ref="K19" si="2">AVERAGE(G19:J19)</f>
        <v>2</v>
      </c>
      <c r="L19" s="101"/>
    </row>
    <row r="20" spans="1:12" x14ac:dyDescent="0.4">
      <c r="A20" s="92"/>
      <c r="B20" s="104"/>
      <c r="C20" s="103"/>
      <c r="D20" s="30"/>
      <c r="E20" s="17"/>
      <c r="F20" s="17"/>
      <c r="G20" s="102"/>
      <c r="H20" s="102"/>
      <c r="I20" s="102"/>
      <c r="J20" s="102"/>
      <c r="K20" s="16"/>
      <c r="L20" s="103"/>
    </row>
    <row r="21" spans="1:12" x14ac:dyDescent="0.4">
      <c r="A21" s="92"/>
      <c r="B21" s="48" t="s">
        <v>42</v>
      </c>
      <c r="C21" s="49" t="s">
        <v>9</v>
      </c>
      <c r="D21" s="50"/>
      <c r="E21" s="51">
        <f>SUM(E22:E25)</f>
        <v>0.05</v>
      </c>
      <c r="F21" s="51"/>
      <c r="G21" s="54">
        <f t="shared" ref="G21:J21" si="3">SUM(G22:G25)</f>
        <v>5</v>
      </c>
      <c r="H21" s="54">
        <f t="shared" si="3"/>
        <v>5</v>
      </c>
      <c r="I21" s="54">
        <f t="shared" si="3"/>
        <v>5</v>
      </c>
      <c r="J21" s="54">
        <f t="shared" si="3"/>
        <v>5</v>
      </c>
      <c r="K21" s="54">
        <f>SUM(K22:K25)</f>
        <v>5</v>
      </c>
      <c r="L21" s="98"/>
    </row>
    <row r="22" spans="1:12" s="158" customFormat="1" ht="30" customHeight="1" x14ac:dyDescent="0.4">
      <c r="A22" s="99" t="s">
        <v>104</v>
      </c>
      <c r="B22" s="156">
        <v>1</v>
      </c>
      <c r="C22" s="101" t="str">
        <f>VLOOKUP($A22,PERTANYAAN!$A$18:$E$71,3,0)</f>
        <v>Identitas (KTP &amp; KK)</v>
      </c>
      <c r="D22" s="101" t="str">
        <f>VLOOKUP($A22,PERTANYAAN!$A$18:$E$71,4,0)</f>
        <v>Apakah ada Identitas Diri KTP &amp; KK?</v>
      </c>
      <c r="E22" s="46">
        <f>VLOOKUP($A22,PERTANYAAN!$A$18:$E$71,5,0)</f>
        <v>0.01</v>
      </c>
      <c r="F22" s="46"/>
      <c r="G22" s="159">
        <f>'HR (SADAM)'!M22</f>
        <v>1</v>
      </c>
      <c r="H22" s="159">
        <f>'USER1-SADAM'!M22</f>
        <v>1</v>
      </c>
      <c r="I22" s="159">
        <f>'USER2-SADAM'!M22</f>
        <v>1</v>
      </c>
      <c r="J22" s="159">
        <f>'MANAGER-SADAM'!M22</f>
        <v>1</v>
      </c>
      <c r="K22" s="33">
        <f t="shared" ref="K22:K25" si="4">AVERAGE(G22:J22)</f>
        <v>1</v>
      </c>
      <c r="L22" s="101"/>
    </row>
    <row r="23" spans="1:12" s="158" customFormat="1" ht="30" customHeight="1" x14ac:dyDescent="0.4">
      <c r="A23" s="99" t="s">
        <v>105</v>
      </c>
      <c r="B23" s="156">
        <f>B22+1</f>
        <v>2</v>
      </c>
      <c r="C23" s="101" t="str">
        <f>VLOOKUP($A23,PERTANYAAN!$A$18:$E$71,3,0)</f>
        <v>SIM A (utk jabatan di Divisi Operasi)</v>
      </c>
      <c r="D23" s="101" t="str">
        <f>VLOOKUP($A23,PERTANYAAN!$A$18:$E$71,4,0)</f>
        <v>Apakah sudah memiliki SIM A?</v>
      </c>
      <c r="E23" s="46">
        <f>VLOOKUP($A23,PERTANYAAN!$A$18:$E$71,5,0)</f>
        <v>0.02</v>
      </c>
      <c r="F23" s="46"/>
      <c r="G23" s="159">
        <f>'HR (SADAM)'!M23</f>
        <v>2</v>
      </c>
      <c r="H23" s="159">
        <f>'USER1-SADAM'!M23</f>
        <v>2</v>
      </c>
      <c r="I23" s="159">
        <f>'USER2-SADAM'!M23</f>
        <v>2</v>
      </c>
      <c r="J23" s="159">
        <f>'MANAGER-SADAM'!M23</f>
        <v>2</v>
      </c>
      <c r="K23" s="33">
        <f t="shared" si="4"/>
        <v>2</v>
      </c>
      <c r="L23" s="101"/>
    </row>
    <row r="24" spans="1:12" s="158" customFormat="1" ht="30" customHeight="1" x14ac:dyDescent="0.4">
      <c r="A24" s="99" t="s">
        <v>106</v>
      </c>
      <c r="B24" s="156">
        <f t="shared" ref="B24:B25" si="5">B23+1</f>
        <v>3</v>
      </c>
      <c r="C24" s="101" t="str">
        <f>VLOOKUP($A24,PERTANYAAN!$A$18:$E$71,3,0)</f>
        <v>SIM C</v>
      </c>
      <c r="D24" s="101" t="str">
        <f>VLOOKUP($A24,PERTANYAAN!$A$18:$E$71,4,0)</f>
        <v>Apakah sudah memiliki SIM C?</v>
      </c>
      <c r="E24" s="46">
        <f>VLOOKUP($A24,PERTANYAAN!$A$18:$E$71,5,0)</f>
        <v>0.01</v>
      </c>
      <c r="F24" s="46"/>
      <c r="G24" s="159">
        <f>'HR (SADAM)'!M24</f>
        <v>1</v>
      </c>
      <c r="H24" s="159">
        <f>'USER1-SADAM'!M24</f>
        <v>1</v>
      </c>
      <c r="I24" s="159">
        <f>'USER2-SADAM'!M24</f>
        <v>1</v>
      </c>
      <c r="J24" s="159">
        <f>'MANAGER-SADAM'!M24</f>
        <v>1</v>
      </c>
      <c r="K24" s="33">
        <f t="shared" si="4"/>
        <v>1</v>
      </c>
      <c r="L24" s="101"/>
    </row>
    <row r="25" spans="1:12" s="158" customFormat="1" ht="30" customHeight="1" x14ac:dyDescent="0.4">
      <c r="A25" s="99" t="s">
        <v>107</v>
      </c>
      <c r="B25" s="156">
        <f t="shared" si="5"/>
        <v>4</v>
      </c>
      <c r="C25" s="101" t="str">
        <f>VLOOKUP($A25,PERTANYAAN!$A$18:$E$71,3,0)</f>
        <v>NPWP</v>
      </c>
      <c r="D25" s="101" t="str">
        <f>VLOOKUP($A25,PERTANYAAN!$A$18:$E$71,4,0)</f>
        <v>Apakah sudah Memiliki NPWP?</v>
      </c>
      <c r="E25" s="46">
        <f>VLOOKUP($A25,PERTANYAAN!$A$18:$E$71,5,0)</f>
        <v>0.01</v>
      </c>
      <c r="F25" s="46"/>
      <c r="G25" s="159">
        <f>'HR (SADAM)'!M25</f>
        <v>1</v>
      </c>
      <c r="H25" s="159">
        <f>'USER1-SADAM'!M25</f>
        <v>1</v>
      </c>
      <c r="I25" s="159">
        <f>'USER2-SADAM'!M25</f>
        <v>1</v>
      </c>
      <c r="J25" s="159">
        <f>'MANAGER-SADAM'!M25</f>
        <v>1</v>
      </c>
      <c r="K25" s="33">
        <f t="shared" si="4"/>
        <v>1</v>
      </c>
      <c r="L25" s="101"/>
    </row>
    <row r="26" spans="1:12" x14ac:dyDescent="0.4">
      <c r="A26" s="92"/>
      <c r="B26" s="104"/>
      <c r="C26" s="103"/>
      <c r="D26" s="30"/>
      <c r="E26" s="17"/>
      <c r="F26" s="17"/>
      <c r="G26" s="102"/>
      <c r="H26" s="102"/>
      <c r="I26" s="102"/>
      <c r="J26" s="102"/>
      <c r="K26" s="16"/>
      <c r="L26" s="103"/>
    </row>
    <row r="27" spans="1:12" x14ac:dyDescent="0.4">
      <c r="A27" s="92"/>
      <c r="B27" s="48" t="s">
        <v>97</v>
      </c>
      <c r="C27" s="49" t="s">
        <v>21</v>
      </c>
      <c r="D27" s="56"/>
      <c r="E27" s="51">
        <f>E28</f>
        <v>0.35000000000000003</v>
      </c>
      <c r="F27" s="57"/>
      <c r="G27" s="54">
        <f t="shared" ref="G27:J27" si="6">G28</f>
        <v>14</v>
      </c>
      <c r="H27" s="54">
        <f t="shared" si="6"/>
        <v>22</v>
      </c>
      <c r="I27" s="54">
        <f t="shared" si="6"/>
        <v>17</v>
      </c>
      <c r="J27" s="54">
        <f t="shared" si="6"/>
        <v>19.5</v>
      </c>
      <c r="K27" s="54">
        <f>K28</f>
        <v>18.125</v>
      </c>
      <c r="L27" s="98"/>
    </row>
    <row r="28" spans="1:12" x14ac:dyDescent="0.4">
      <c r="A28" s="99" t="s">
        <v>108</v>
      </c>
      <c r="B28" s="100">
        <v>1</v>
      </c>
      <c r="C28" s="101" t="str">
        <f>VLOOKUP($A28,PERTANYAAN!$A$18:$E$71,3,0)</f>
        <v>Operasi / Logistik</v>
      </c>
      <c r="D28" s="30"/>
      <c r="E28" s="46">
        <f>VLOOKUP($A28,PERTANYAAN!$A$18:$E$71,5,0)</f>
        <v>0.35000000000000003</v>
      </c>
      <c r="F28" s="17"/>
      <c r="G28" s="16">
        <f t="shared" ref="G28:J28" si="7">SUM(G29:G33)</f>
        <v>14</v>
      </c>
      <c r="H28" s="16">
        <f t="shared" si="7"/>
        <v>22</v>
      </c>
      <c r="I28" s="16">
        <f t="shared" si="7"/>
        <v>17</v>
      </c>
      <c r="J28" s="16">
        <f t="shared" si="7"/>
        <v>19.5</v>
      </c>
      <c r="K28" s="16">
        <f>SUM(K29:K33)</f>
        <v>18.125</v>
      </c>
      <c r="L28" s="103"/>
    </row>
    <row r="29" spans="1:12" s="158" customFormat="1" ht="30" customHeight="1" x14ac:dyDescent="0.4">
      <c r="A29" s="99" t="s">
        <v>109</v>
      </c>
      <c r="B29" s="156" t="s">
        <v>6</v>
      </c>
      <c r="C29" s="101" t="str">
        <f>VLOOKUP($A29,PERTANYAAN!$A$18:$E$71,3,0)</f>
        <v>Skill Mengemudi</v>
      </c>
      <c r="D29" s="101" t="str">
        <f>VLOOKUP($A29,PERTANYAAN!$A$18:$E$71,4,0)</f>
        <v>Coba ceritakan pengalaman / keahlian dalam mengemudi mobil angkut/logistik?</v>
      </c>
      <c r="E29" s="46">
        <f>VLOOKUP($A29,PERTANYAAN!$A$18:$E$71,5,0)</f>
        <v>0.15</v>
      </c>
      <c r="F29" s="46"/>
      <c r="G29" s="159">
        <f>'HR (SADAM)'!M29</f>
        <v>6</v>
      </c>
      <c r="H29" s="159">
        <f>'USER1-SADAM'!M29</f>
        <v>12</v>
      </c>
      <c r="I29" s="159">
        <f>'USER2-SADAM'!M29</f>
        <v>9</v>
      </c>
      <c r="J29" s="159">
        <f>'MANAGER-SADAM'!M29</f>
        <v>9</v>
      </c>
      <c r="K29" s="33">
        <f t="shared" ref="K29:K32" si="8">AVERAGE(G29:J29)</f>
        <v>9</v>
      </c>
      <c r="L29" s="101"/>
    </row>
    <row r="30" spans="1:12" s="158" customFormat="1" ht="30" customHeight="1" x14ac:dyDescent="0.4">
      <c r="A30" s="99" t="s">
        <v>110</v>
      </c>
      <c r="B30" s="156" t="s">
        <v>6</v>
      </c>
      <c r="C30" s="101" t="str">
        <f>VLOOKUP($A30,PERTANYAAN!$A$18:$E$71,3,0)</f>
        <v>Flow Administrasi Logistik</v>
      </c>
      <c r="D30" s="101" t="str">
        <f>VLOOKUP($A30,PERTANYAAN!$A$18:$E$71,4,0)</f>
        <v>Coba ceritakan yang anda ketahui tentang alur administrasi logistik? Dan kaitannya dengan Ms. Office</v>
      </c>
      <c r="E30" s="46">
        <f>VLOOKUP($A30,PERTANYAAN!$A$18:$E$71,5,0)</f>
        <v>0.1</v>
      </c>
      <c r="F30" s="46"/>
      <c r="G30" s="159">
        <f>'HR (SADAM)'!M30</f>
        <v>4.0000000000000009</v>
      </c>
      <c r="H30" s="159">
        <f>'USER1-SADAM'!M30</f>
        <v>4.0000000000000009</v>
      </c>
      <c r="I30" s="159">
        <f>'USER2-SADAM'!M30</f>
        <v>4.0000000000000009</v>
      </c>
      <c r="J30" s="159">
        <f>'MANAGER-SADAM'!M30</f>
        <v>6</v>
      </c>
      <c r="K30" s="33">
        <f t="shared" si="8"/>
        <v>4.5000000000000009</v>
      </c>
      <c r="L30" s="101"/>
    </row>
    <row r="31" spans="1:12" s="158" customFormat="1" ht="30" customHeight="1" x14ac:dyDescent="0.4">
      <c r="A31" s="99" t="s">
        <v>111</v>
      </c>
      <c r="B31" s="156" t="s">
        <v>6</v>
      </c>
      <c r="C31" s="101" t="str">
        <f>VLOOKUP($A31,PERTANYAAN!$A$18:$E$71,3,0)</f>
        <v>Pengetahuan terkait logistik</v>
      </c>
      <c r="D31" s="101" t="str">
        <f>VLOOKUP($A31,PERTANYAAN!$A$18:$E$71,4,0)</f>
        <v>Ceritakan yang anda ketahui terkait dengan logistik?</v>
      </c>
      <c r="E31" s="46">
        <f>VLOOKUP($A31,PERTANYAAN!$A$18:$E$71,5,0)</f>
        <v>2.5000000000000001E-2</v>
      </c>
      <c r="F31" s="46"/>
      <c r="G31" s="159">
        <f>'HR (SADAM)'!M31</f>
        <v>1.0000000000000002</v>
      </c>
      <c r="H31" s="159">
        <f>'USER1-SADAM'!M31</f>
        <v>1.5</v>
      </c>
      <c r="I31" s="159">
        <f>'USER2-SADAM'!M31</f>
        <v>1.0000000000000002</v>
      </c>
      <c r="J31" s="159">
        <f>'MANAGER-SADAM'!M31</f>
        <v>1.5</v>
      </c>
      <c r="K31" s="33">
        <f t="shared" si="8"/>
        <v>1.25</v>
      </c>
      <c r="L31" s="101"/>
    </row>
    <row r="32" spans="1:12" s="158" customFormat="1" ht="30" customHeight="1" x14ac:dyDescent="0.4">
      <c r="A32" s="99" t="s">
        <v>112</v>
      </c>
      <c r="B32" s="156" t="s">
        <v>6</v>
      </c>
      <c r="C32" s="101" t="str">
        <f>VLOOKUP($A32,PERTANYAAN!$A$18:$E$71,3,0)</f>
        <v>Pengalaman di Bongkar Muat</v>
      </c>
      <c r="D32" s="101" t="str">
        <f>VLOOKUP($A32,PERTANYAAN!$A$18:$E$71,4,0)</f>
        <v>Apakah memiliki pengalaman terkait bongkar muat?sedalam apa?</v>
      </c>
      <c r="E32" s="46">
        <f>VLOOKUP($A32,PERTANYAAN!$A$18:$E$71,5,0)</f>
        <v>7.4999999999999997E-2</v>
      </c>
      <c r="F32" s="46"/>
      <c r="G32" s="159">
        <f>'HR (SADAM)'!M32</f>
        <v>3</v>
      </c>
      <c r="H32" s="159">
        <f>'USER1-SADAM'!M32</f>
        <v>4.5</v>
      </c>
      <c r="I32" s="159">
        <f>'USER2-SADAM'!M32</f>
        <v>3</v>
      </c>
      <c r="J32" s="159">
        <f>'MANAGER-SADAM'!M32</f>
        <v>3</v>
      </c>
      <c r="K32" s="33">
        <f t="shared" si="8"/>
        <v>3.375</v>
      </c>
      <c r="L32" s="101"/>
    </row>
    <row r="33" spans="1:12" x14ac:dyDescent="0.4">
      <c r="A33" s="92"/>
      <c r="B33" s="100"/>
      <c r="C33" s="103"/>
      <c r="D33" s="30"/>
      <c r="E33" s="17"/>
      <c r="F33" s="17"/>
      <c r="G33" s="102"/>
      <c r="H33" s="102"/>
      <c r="I33" s="102"/>
      <c r="J33" s="102"/>
      <c r="K33" s="16"/>
      <c r="L33" s="103"/>
    </row>
    <row r="34" spans="1:12" hidden="1" outlineLevel="1" x14ac:dyDescent="0.4">
      <c r="A34" s="92"/>
      <c r="B34" s="100">
        <f>B28+1</f>
        <v>2</v>
      </c>
      <c r="C34" s="103" t="s">
        <v>22</v>
      </c>
      <c r="D34" s="30"/>
      <c r="E34" s="17">
        <f>SUM(E35:E37)</f>
        <v>0.35</v>
      </c>
      <c r="F34" s="17"/>
      <c r="G34" s="102"/>
      <c r="H34" s="102"/>
      <c r="I34" s="102"/>
      <c r="J34" s="102"/>
      <c r="K34" s="16"/>
      <c r="L34" s="103"/>
    </row>
    <row r="35" spans="1:12" hidden="1" outlineLevel="1" x14ac:dyDescent="0.4">
      <c r="A35" s="92"/>
      <c r="B35" s="100" t="s">
        <v>6</v>
      </c>
      <c r="C35" s="103" t="s">
        <v>44</v>
      </c>
      <c r="D35" s="30"/>
      <c r="E35" s="17">
        <v>0.15</v>
      </c>
      <c r="F35" s="17"/>
      <c r="G35" s="102"/>
      <c r="H35" s="102"/>
      <c r="I35" s="102"/>
      <c r="J35" s="102"/>
      <c r="K35" s="16"/>
      <c r="L35" s="103"/>
    </row>
    <row r="36" spans="1:12" hidden="1" outlineLevel="1" x14ac:dyDescent="0.4">
      <c r="A36" s="92"/>
      <c r="B36" s="100" t="s">
        <v>6</v>
      </c>
      <c r="C36" s="103" t="s">
        <v>50</v>
      </c>
      <c r="D36" s="30"/>
      <c r="E36" s="17">
        <v>0.2</v>
      </c>
      <c r="F36" s="17"/>
      <c r="G36" s="102"/>
      <c r="H36" s="102"/>
      <c r="I36" s="102"/>
      <c r="J36" s="102"/>
      <c r="K36" s="16"/>
      <c r="L36" s="103"/>
    </row>
    <row r="37" spans="1:12" hidden="1" outlineLevel="1" x14ac:dyDescent="0.4">
      <c r="A37" s="92"/>
      <c r="B37" s="100"/>
      <c r="C37" s="103"/>
      <c r="D37" s="30"/>
      <c r="E37" s="17"/>
      <c r="F37" s="17"/>
      <c r="G37" s="102"/>
      <c r="H37" s="102"/>
      <c r="I37" s="102"/>
      <c r="J37" s="102"/>
      <c r="K37" s="16"/>
      <c r="L37" s="103"/>
    </row>
    <row r="38" spans="1:12" hidden="1" outlineLevel="1" x14ac:dyDescent="0.4">
      <c r="A38" s="92"/>
      <c r="B38" s="104">
        <v>3</v>
      </c>
      <c r="C38" s="103" t="s">
        <v>23</v>
      </c>
      <c r="D38" s="30"/>
      <c r="E38" s="17"/>
      <c r="F38" s="17"/>
      <c r="G38" s="102"/>
      <c r="H38" s="102"/>
      <c r="I38" s="102"/>
      <c r="J38" s="102"/>
      <c r="K38" s="16"/>
      <c r="L38" s="103"/>
    </row>
    <row r="39" spans="1:12" hidden="1" outlineLevel="1" x14ac:dyDescent="0.4">
      <c r="A39" s="92"/>
      <c r="B39" s="100" t="s">
        <v>6</v>
      </c>
      <c r="C39" s="103" t="s">
        <v>52</v>
      </c>
      <c r="D39" s="30"/>
      <c r="E39" s="17"/>
      <c r="F39" s="17"/>
      <c r="G39" s="102"/>
      <c r="H39" s="102"/>
      <c r="I39" s="102"/>
      <c r="J39" s="102"/>
      <c r="K39" s="16"/>
      <c r="L39" s="103"/>
    </row>
    <row r="40" spans="1:12" hidden="1" outlineLevel="1" x14ac:dyDescent="0.4">
      <c r="A40" s="92"/>
      <c r="B40" s="100" t="s">
        <v>6</v>
      </c>
      <c r="C40" s="103" t="s">
        <v>53</v>
      </c>
      <c r="D40" s="30"/>
      <c r="E40" s="17"/>
      <c r="F40" s="17"/>
      <c r="G40" s="102"/>
      <c r="H40" s="102"/>
      <c r="I40" s="102"/>
      <c r="J40" s="102"/>
      <c r="K40" s="16"/>
      <c r="L40" s="103"/>
    </row>
    <row r="41" spans="1:12" hidden="1" outlineLevel="1" x14ac:dyDescent="0.4">
      <c r="A41" s="92"/>
      <c r="B41" s="100" t="s">
        <v>6</v>
      </c>
      <c r="C41" s="103"/>
      <c r="D41" s="30"/>
      <c r="E41" s="17"/>
      <c r="F41" s="17"/>
      <c r="G41" s="102"/>
      <c r="H41" s="102"/>
      <c r="I41" s="102"/>
      <c r="J41" s="102"/>
      <c r="K41" s="16"/>
      <c r="L41" s="103"/>
    </row>
    <row r="42" spans="1:12" hidden="1" outlineLevel="1" x14ac:dyDescent="0.4">
      <c r="A42" s="92"/>
      <c r="B42" s="104"/>
      <c r="C42" s="103"/>
      <c r="D42" s="30"/>
      <c r="E42" s="17"/>
      <c r="F42" s="17"/>
      <c r="G42" s="102"/>
      <c r="H42" s="102"/>
      <c r="I42" s="102"/>
      <c r="J42" s="102"/>
      <c r="K42" s="16"/>
      <c r="L42" s="103"/>
    </row>
    <row r="43" spans="1:12" s="2" customFormat="1" collapsed="1" x14ac:dyDescent="0.4">
      <c r="A43" s="3"/>
      <c r="B43" s="48" t="s">
        <v>98</v>
      </c>
      <c r="C43" s="49" t="s">
        <v>24</v>
      </c>
      <c r="D43" s="50"/>
      <c r="E43" s="51">
        <f>E44</f>
        <v>0.25</v>
      </c>
      <c r="F43" s="51"/>
      <c r="G43" s="54">
        <f t="shared" ref="G43:J43" si="9">G44</f>
        <v>14</v>
      </c>
      <c r="H43" s="54">
        <f t="shared" si="9"/>
        <v>16.5</v>
      </c>
      <c r="I43" s="54">
        <f t="shared" si="9"/>
        <v>16.500000000000004</v>
      </c>
      <c r="J43" s="54">
        <f t="shared" si="9"/>
        <v>20.5</v>
      </c>
      <c r="K43" s="54">
        <f>K44</f>
        <v>16.875</v>
      </c>
      <c r="L43" s="49"/>
    </row>
    <row r="44" spans="1:12" x14ac:dyDescent="0.4">
      <c r="A44" s="92" t="s">
        <v>113</v>
      </c>
      <c r="B44" s="104">
        <v>1</v>
      </c>
      <c r="C44" s="101" t="str">
        <f>VLOOKUP($A44,PERTANYAAN!$A$18:$E$71,3,0)</f>
        <v>Staff</v>
      </c>
      <c r="D44" s="30"/>
      <c r="E44" s="17">
        <f>SUM(E45:E49)</f>
        <v>0.25</v>
      </c>
      <c r="F44" s="17"/>
      <c r="G44" s="16">
        <f t="shared" ref="G44:J44" si="10">SUM(G45:G48)</f>
        <v>14</v>
      </c>
      <c r="H44" s="16">
        <f t="shared" si="10"/>
        <v>16.5</v>
      </c>
      <c r="I44" s="16">
        <f t="shared" si="10"/>
        <v>16.500000000000004</v>
      </c>
      <c r="J44" s="16">
        <f t="shared" si="10"/>
        <v>20.5</v>
      </c>
      <c r="K44" s="16">
        <f>SUM(K45:K48)</f>
        <v>16.875</v>
      </c>
      <c r="L44" s="103"/>
    </row>
    <row r="45" spans="1:12" s="158" customFormat="1" ht="30" customHeight="1" x14ac:dyDescent="0.4">
      <c r="A45" s="99" t="s">
        <v>114</v>
      </c>
      <c r="B45" s="156" t="s">
        <v>6</v>
      </c>
      <c r="C45" s="101" t="str">
        <f>VLOOKUP($A45,PERTANYAAN!$A$18:$E$71,3,0)</f>
        <v>Kepemimpinan</v>
      </c>
      <c r="D45" s="101" t="str">
        <f>VLOOKUP($A45,PERTANYAAN!$A$18:$E$71,4,0)</f>
        <v>Jika terjadi suatu diskusi dalam group/kelompok yang belum menemukan titik temu, apa yang akan anda lakukan?</v>
      </c>
      <c r="E45" s="46">
        <f>VLOOKUP($A45,PERTANYAAN!$A$18:$E$71,5,0)</f>
        <v>2.5000000000000001E-2</v>
      </c>
      <c r="F45" s="46"/>
      <c r="G45" s="159">
        <f>'HR (SADAM)'!M45</f>
        <v>1.0000000000000002</v>
      </c>
      <c r="H45" s="159">
        <f>'USER1-SADAM'!M45</f>
        <v>1.5</v>
      </c>
      <c r="I45" s="159">
        <f>'USER2-SADAM'!M45</f>
        <v>1.5</v>
      </c>
      <c r="J45" s="159">
        <f>'MANAGER-SADAM'!M45</f>
        <v>1.5</v>
      </c>
      <c r="K45" s="33">
        <f t="shared" ref="K45:K48" si="11">AVERAGE(G45:J45)</f>
        <v>1.375</v>
      </c>
      <c r="L45" s="101"/>
    </row>
    <row r="46" spans="1:12" s="158" customFormat="1" ht="30" customHeight="1" x14ac:dyDescent="0.4">
      <c r="A46" s="99" t="s">
        <v>115</v>
      </c>
      <c r="B46" s="156" t="s">
        <v>6</v>
      </c>
      <c r="C46" s="101" t="str">
        <f>VLOOKUP($A46,PERTANYAAN!$A$18:$E$71,3,0)</f>
        <v>Komunikasi</v>
      </c>
      <c r="D46" s="101" t="str">
        <f>VLOOKUP($A46,PERTANYAAN!$A$18:$E$71,4,0)</f>
        <v>Bagaimana hubungan kerjasama antar sesama pegawai / organisasi / kelompok?(jika memiliki pengalaman kerja)</v>
      </c>
      <c r="E46" s="46">
        <f>VLOOKUP($A46,PERTANYAAN!$A$18:$E$71,5,0)</f>
        <v>0.1</v>
      </c>
      <c r="F46" s="46"/>
      <c r="G46" s="159">
        <f>'HR (SADAM)'!M46</f>
        <v>6</v>
      </c>
      <c r="H46" s="159">
        <f>'USER1-SADAM'!M46</f>
        <v>6</v>
      </c>
      <c r="I46" s="159">
        <f>'USER2-SADAM'!M46</f>
        <v>8.0000000000000018</v>
      </c>
      <c r="J46" s="159">
        <f>'MANAGER-SADAM'!M46</f>
        <v>8.0000000000000018</v>
      </c>
      <c r="K46" s="33">
        <f t="shared" si="11"/>
        <v>7</v>
      </c>
      <c r="L46" s="101"/>
    </row>
    <row r="47" spans="1:12" s="158" customFormat="1" ht="30" customHeight="1" x14ac:dyDescent="0.4">
      <c r="A47" s="99" t="s">
        <v>116</v>
      </c>
      <c r="B47" s="156" t="s">
        <v>6</v>
      </c>
      <c r="C47" s="101" t="str">
        <f>VLOOKUP($A47,PERTANYAAN!$A$18:$E$71,3,0)</f>
        <v>Patuh pada Peraturan / Commitment</v>
      </c>
      <c r="D47" s="101" t="str">
        <f>VLOOKUP($A47,PERTANYAAN!$A$18:$E$71,4,0)</f>
        <v>Bagaimana pandangan anda terkait perusahaan dan aturan yang dapat berubah ubah sesuai arah perusahaan?</v>
      </c>
      <c r="E47" s="46">
        <f>VLOOKUP($A47,PERTANYAAN!$A$18:$E$71,5,0)</f>
        <v>0.05</v>
      </c>
      <c r="F47" s="46"/>
      <c r="G47" s="159">
        <f>'HR (SADAM)'!M47</f>
        <v>4.0000000000000009</v>
      </c>
      <c r="H47" s="159">
        <f>'USER1-SADAM'!M47</f>
        <v>3</v>
      </c>
      <c r="I47" s="159">
        <f>'USER2-SADAM'!M47</f>
        <v>4.0000000000000009</v>
      </c>
      <c r="J47" s="159">
        <f>'MANAGER-SADAM'!M47</f>
        <v>5</v>
      </c>
      <c r="K47" s="33">
        <f t="shared" si="11"/>
        <v>4</v>
      </c>
      <c r="L47" s="101"/>
    </row>
    <row r="48" spans="1:12" s="158" customFormat="1" ht="30" customHeight="1" x14ac:dyDescent="0.4">
      <c r="A48" s="99" t="s">
        <v>117</v>
      </c>
      <c r="B48" s="156" t="s">
        <v>6</v>
      </c>
      <c r="C48" s="101" t="str">
        <f>VLOOKUP($A48,PERTANYAAN!$A$18:$E$71,3,0)</f>
        <v>Determinasi thd tekanan</v>
      </c>
      <c r="D48" s="101" t="str">
        <f>VLOOKUP($A48,PERTANYAAN!$A$18:$E$71,4,0)</f>
        <v>Bagaimana pandangan anda jika anda dituntut pada pekerjaan diluar dari waktu normal dalam bekerja?</v>
      </c>
      <c r="E48" s="46">
        <f>VLOOKUP($A48,PERTANYAAN!$A$18:$E$71,5,0)</f>
        <v>7.4999999999999997E-2</v>
      </c>
      <c r="F48" s="46"/>
      <c r="G48" s="159">
        <f>'HR (SADAM)'!M48</f>
        <v>3</v>
      </c>
      <c r="H48" s="159">
        <f>'USER1-SADAM'!M48</f>
        <v>6</v>
      </c>
      <c r="I48" s="159">
        <f>'USER2-SADAM'!M48</f>
        <v>3</v>
      </c>
      <c r="J48" s="159">
        <f>'MANAGER-SADAM'!M48</f>
        <v>6</v>
      </c>
      <c r="K48" s="33">
        <f t="shared" si="11"/>
        <v>4.5</v>
      </c>
      <c r="L48" s="101"/>
    </row>
    <row r="49" spans="1:12" x14ac:dyDescent="0.4">
      <c r="A49" s="92"/>
      <c r="B49" s="100"/>
      <c r="C49" s="103"/>
      <c r="D49" s="30"/>
      <c r="E49" s="17"/>
      <c r="F49" s="17"/>
      <c r="G49" s="102"/>
      <c r="H49" s="102"/>
      <c r="I49" s="102"/>
      <c r="J49" s="102"/>
      <c r="K49" s="16"/>
      <c r="L49" s="103"/>
    </row>
    <row r="50" spans="1:12" hidden="1" outlineLevel="1" x14ac:dyDescent="0.4">
      <c r="A50" s="92"/>
      <c r="B50" s="104">
        <v>2</v>
      </c>
      <c r="C50" s="103" t="s">
        <v>26</v>
      </c>
      <c r="D50" s="30"/>
      <c r="E50" s="17"/>
      <c r="F50" s="17"/>
      <c r="G50" s="102"/>
      <c r="H50" s="102"/>
      <c r="I50" s="102"/>
      <c r="J50" s="102"/>
      <c r="K50" s="16"/>
      <c r="L50" s="103"/>
    </row>
    <row r="51" spans="1:12" hidden="1" outlineLevel="1" x14ac:dyDescent="0.4">
      <c r="A51" s="92"/>
      <c r="B51" s="100" t="s">
        <v>6</v>
      </c>
      <c r="C51" s="103" t="s">
        <v>54</v>
      </c>
      <c r="D51" s="30"/>
      <c r="E51" s="17"/>
      <c r="F51" s="17"/>
      <c r="G51" s="102"/>
      <c r="H51" s="102"/>
      <c r="I51" s="102"/>
      <c r="J51" s="102"/>
      <c r="K51" s="16"/>
      <c r="L51" s="103"/>
    </row>
    <row r="52" spans="1:12" hidden="1" outlineLevel="1" x14ac:dyDescent="0.4">
      <c r="A52" s="92"/>
      <c r="B52" s="100" t="s">
        <v>6</v>
      </c>
      <c r="C52" s="103" t="s">
        <v>55</v>
      </c>
      <c r="D52" s="30"/>
      <c r="E52" s="17"/>
      <c r="F52" s="17"/>
      <c r="G52" s="102"/>
      <c r="H52" s="102"/>
      <c r="I52" s="102"/>
      <c r="J52" s="102"/>
      <c r="K52" s="16"/>
      <c r="L52" s="103"/>
    </row>
    <row r="53" spans="1:12" hidden="1" outlineLevel="1" x14ac:dyDescent="0.4">
      <c r="A53" s="92"/>
      <c r="B53" s="100" t="s">
        <v>6</v>
      </c>
      <c r="C53" s="103" t="s">
        <v>56</v>
      </c>
      <c r="D53" s="30"/>
      <c r="E53" s="17"/>
      <c r="F53" s="17"/>
      <c r="G53" s="102"/>
      <c r="H53" s="102"/>
      <c r="I53" s="102"/>
      <c r="J53" s="102"/>
      <c r="K53" s="16"/>
      <c r="L53" s="103"/>
    </row>
    <row r="54" spans="1:12" hidden="1" outlineLevel="1" x14ac:dyDescent="0.4">
      <c r="A54" s="92"/>
      <c r="B54" s="100"/>
      <c r="C54" s="103"/>
      <c r="D54" s="30"/>
      <c r="E54" s="17"/>
      <c r="F54" s="17"/>
      <c r="G54" s="102"/>
      <c r="H54" s="102"/>
      <c r="I54" s="102"/>
      <c r="J54" s="102"/>
      <c r="K54" s="16"/>
      <c r="L54" s="103"/>
    </row>
    <row r="55" spans="1:12" hidden="1" outlineLevel="1" x14ac:dyDescent="0.4">
      <c r="A55" s="92"/>
      <c r="B55" s="104">
        <v>3</v>
      </c>
      <c r="C55" s="103" t="s">
        <v>27</v>
      </c>
      <c r="D55" s="30"/>
      <c r="E55" s="17"/>
      <c r="F55" s="17"/>
      <c r="G55" s="102"/>
      <c r="H55" s="102"/>
      <c r="I55" s="102"/>
      <c r="J55" s="102"/>
      <c r="K55" s="16"/>
      <c r="L55" s="103"/>
    </row>
    <row r="56" spans="1:12" hidden="1" outlineLevel="1" x14ac:dyDescent="0.4">
      <c r="A56" s="92"/>
      <c r="B56" s="100" t="s">
        <v>6</v>
      </c>
      <c r="C56" s="103" t="s">
        <v>54</v>
      </c>
      <c r="D56" s="30"/>
      <c r="E56" s="17"/>
      <c r="F56" s="17"/>
      <c r="G56" s="102"/>
      <c r="H56" s="102"/>
      <c r="I56" s="102"/>
      <c r="J56" s="102"/>
      <c r="K56" s="16"/>
      <c r="L56" s="103"/>
    </row>
    <row r="57" spans="1:12" hidden="1" outlineLevel="1" x14ac:dyDescent="0.4">
      <c r="A57" s="92"/>
      <c r="B57" s="100" t="s">
        <v>6</v>
      </c>
      <c r="C57" s="103" t="s">
        <v>56</v>
      </c>
      <c r="D57" s="30"/>
      <c r="E57" s="17"/>
      <c r="F57" s="17"/>
      <c r="G57" s="102"/>
      <c r="H57" s="102"/>
      <c r="I57" s="102"/>
      <c r="J57" s="102"/>
      <c r="K57" s="16"/>
      <c r="L57" s="103"/>
    </row>
    <row r="58" spans="1:12" hidden="1" outlineLevel="1" x14ac:dyDescent="0.4">
      <c r="A58" s="92"/>
      <c r="B58" s="100" t="s">
        <v>6</v>
      </c>
      <c r="C58" s="103" t="s">
        <v>57</v>
      </c>
      <c r="D58" s="30"/>
      <c r="E58" s="17"/>
      <c r="F58" s="17"/>
      <c r="G58" s="102"/>
      <c r="H58" s="102"/>
      <c r="I58" s="102"/>
      <c r="J58" s="102"/>
      <c r="K58" s="16"/>
      <c r="L58" s="103"/>
    </row>
    <row r="59" spans="1:12" hidden="1" outlineLevel="1" x14ac:dyDescent="0.4">
      <c r="A59" s="92"/>
      <c r="B59" s="104"/>
      <c r="C59" s="103"/>
      <c r="D59" s="30"/>
      <c r="E59" s="17"/>
      <c r="F59" s="17"/>
      <c r="G59" s="102"/>
      <c r="H59" s="102"/>
      <c r="I59" s="102"/>
      <c r="J59" s="102"/>
      <c r="K59" s="16"/>
      <c r="L59" s="103"/>
    </row>
    <row r="60" spans="1:12" s="2" customFormat="1" collapsed="1" x14ac:dyDescent="0.4">
      <c r="A60" s="3"/>
      <c r="B60" s="48" t="s">
        <v>99</v>
      </c>
      <c r="C60" s="49" t="s">
        <v>46</v>
      </c>
      <c r="D60" s="50"/>
      <c r="E60" s="51">
        <f>SUM(E61:E64)</f>
        <v>0.15</v>
      </c>
      <c r="F60" s="51"/>
      <c r="G60" s="54">
        <f t="shared" ref="G60:J60" si="12">SUM(G61:G64)</f>
        <v>9.5</v>
      </c>
      <c r="H60" s="54">
        <f t="shared" si="12"/>
        <v>8</v>
      </c>
      <c r="I60" s="54">
        <f t="shared" si="12"/>
        <v>9.5</v>
      </c>
      <c r="J60" s="54">
        <f t="shared" si="12"/>
        <v>8.5</v>
      </c>
      <c r="K60" s="54">
        <f>SUM(K61:K64)</f>
        <v>8.875</v>
      </c>
      <c r="L60" s="49"/>
    </row>
    <row r="61" spans="1:12" s="158" customFormat="1" ht="30" customHeight="1" x14ac:dyDescent="0.4">
      <c r="A61" s="99" t="s">
        <v>118</v>
      </c>
      <c r="B61" s="156" t="s">
        <v>6</v>
      </c>
      <c r="C61" s="101" t="str">
        <f>VLOOKUP($A61,PERTANYAAN!$A$18:$E$71,3,0)</f>
        <v>Antusiasme / Keinginan bergabung</v>
      </c>
      <c r="D61" s="101" t="str">
        <f>VLOOKUP($A61,PERTANYAAN!$A$18:$E$71,4,0)</f>
        <v>Apa yang anda pikirkan setelah mendengar / mengetahui Daniswara membutuhkan personil baru di posisi ini?</v>
      </c>
      <c r="E61" s="46">
        <f>VLOOKUP($A61,PERTANYAAN!$A$18:$E$71,5,0)</f>
        <v>7.4999999999999997E-2</v>
      </c>
      <c r="F61" s="46"/>
      <c r="G61" s="159">
        <f>'HR (SADAM)'!M61</f>
        <v>4.5</v>
      </c>
      <c r="H61" s="159">
        <f>'USER1-SADAM'!M61</f>
        <v>4.5</v>
      </c>
      <c r="I61" s="159">
        <f>'USER2-SADAM'!M61</f>
        <v>4.5</v>
      </c>
      <c r="J61" s="159">
        <f>'MANAGER-SADAM'!M61</f>
        <v>4.5</v>
      </c>
      <c r="K61" s="33">
        <f t="shared" ref="K61:K63" si="13">AVERAGE(G61:J61)</f>
        <v>4.5</v>
      </c>
      <c r="L61" s="101"/>
    </row>
    <row r="62" spans="1:12" s="158" customFormat="1" ht="30" customHeight="1" x14ac:dyDescent="0.4">
      <c r="A62" s="99" t="s">
        <v>119</v>
      </c>
      <c r="B62" s="156" t="s">
        <v>6</v>
      </c>
      <c r="C62" s="101" t="str">
        <f>VLOOKUP($A62,PERTANYAAN!$A$18:$E$71,3,0)</f>
        <v>Inisiatif</v>
      </c>
      <c r="D62" s="101" t="str">
        <f>VLOOKUP($A62,PERTANYAAN!$A$18:$E$71,4,0)</f>
        <v>Jika ada hal-hal yang kiranya belum diatur oleh perusahaan atau belum dapat arahan oleh atasan, apa yang biasanya anda lakukan?</v>
      </c>
      <c r="E62" s="46">
        <f>VLOOKUP($A62,PERTANYAAN!$A$18:$E$71,5,0)</f>
        <v>0.05</v>
      </c>
      <c r="F62" s="46"/>
      <c r="G62" s="159">
        <f>'HR (SADAM)'!M62</f>
        <v>3</v>
      </c>
      <c r="H62" s="159">
        <f>'USER1-SADAM'!M62</f>
        <v>2.0000000000000004</v>
      </c>
      <c r="I62" s="159">
        <f>'USER2-SADAM'!M62</f>
        <v>3</v>
      </c>
      <c r="J62" s="159">
        <f>'MANAGER-SADAM'!M62</f>
        <v>3</v>
      </c>
      <c r="K62" s="33">
        <f t="shared" si="13"/>
        <v>2.75</v>
      </c>
      <c r="L62" s="101"/>
    </row>
    <row r="63" spans="1:12" s="158" customFormat="1" ht="29.15" x14ac:dyDescent="0.4">
      <c r="A63" s="99" t="s">
        <v>120</v>
      </c>
      <c r="B63" s="156" t="s">
        <v>6</v>
      </c>
      <c r="C63" s="101" t="str">
        <f>VLOOKUP($A63,PERTANYAAN!$A$18:$E$71,3,0)</f>
        <v>Adaptif</v>
      </c>
      <c r="D63" s="101" t="str">
        <f>VLOOKUP($A63,PERTANYAAN!$A$18:$E$71,4,0)</f>
        <v>Coba ceritakan pengalaman anda terkait dengan berada dalam lingkungan yang baru / hal yang baru?</v>
      </c>
      <c r="E63" s="46">
        <f>VLOOKUP($A63,PERTANYAAN!$A$18:$E$71,5,0)</f>
        <v>2.5000000000000001E-2</v>
      </c>
      <c r="F63" s="46"/>
      <c r="G63" s="159">
        <f>'HR (SADAM)'!M63</f>
        <v>2.0000000000000004</v>
      </c>
      <c r="H63" s="159">
        <f>'USER1-SADAM'!M63</f>
        <v>1.5</v>
      </c>
      <c r="I63" s="159">
        <f>'USER2-SADAM'!M63</f>
        <v>2.0000000000000004</v>
      </c>
      <c r="J63" s="159">
        <f>'MANAGER-SADAM'!M63</f>
        <v>1.0000000000000002</v>
      </c>
      <c r="K63" s="33">
        <f t="shared" si="13"/>
        <v>1.6250000000000002</v>
      </c>
      <c r="L63" s="101"/>
    </row>
    <row r="64" spans="1:12" x14ac:dyDescent="0.4">
      <c r="A64" s="92"/>
      <c r="B64" s="104"/>
      <c r="C64" s="103"/>
      <c r="D64" s="30"/>
      <c r="E64" s="17"/>
      <c r="F64" s="17"/>
      <c r="G64" s="102"/>
      <c r="H64" s="102"/>
      <c r="I64" s="102"/>
      <c r="J64" s="102"/>
      <c r="K64" s="16"/>
      <c r="L64" s="103"/>
    </row>
    <row r="65" spans="1:12" s="2" customFormat="1" x14ac:dyDescent="0.4">
      <c r="A65" s="3"/>
      <c r="B65" s="48" t="s">
        <v>100</v>
      </c>
      <c r="C65" s="49" t="s">
        <v>48</v>
      </c>
      <c r="D65" s="50"/>
      <c r="E65" s="51">
        <f>SUM(E66:E68)</f>
        <v>0.05</v>
      </c>
      <c r="F65" s="51"/>
      <c r="G65" s="54">
        <f t="shared" ref="G65:I65" si="14">SUM(G66:G68)</f>
        <v>2.2000000000000002</v>
      </c>
      <c r="H65" s="54">
        <f t="shared" si="14"/>
        <v>2</v>
      </c>
      <c r="I65" s="54">
        <f t="shared" si="14"/>
        <v>3</v>
      </c>
      <c r="J65" s="54">
        <f>SUM(J66:J68)</f>
        <v>3.4</v>
      </c>
      <c r="K65" s="54">
        <f>SUM(K66:K68)</f>
        <v>2.65</v>
      </c>
      <c r="L65" s="49"/>
    </row>
    <row r="66" spans="1:12" s="158" customFormat="1" ht="30" customHeight="1" x14ac:dyDescent="0.4">
      <c r="A66" s="99" t="s">
        <v>121</v>
      </c>
      <c r="B66" s="156" t="s">
        <v>6</v>
      </c>
      <c r="C66" s="101" t="str">
        <f>VLOOKUP($A66,PERTANYAAN!$A$18:$E$71,3,0)</f>
        <v>Ekspektasi Salary (Mengukur Budget &amp; Skill)</v>
      </c>
      <c r="D66" s="101" t="str">
        <f>VLOOKUP($A66,PERTANYAAN!$A$18:$E$71,4,0)</f>
        <v>Menurut anda, berapa ekspektasi salary/gaji yang anda inginkan? Bagaimana jika perusahaan belum memenuhinya?</v>
      </c>
      <c r="E66" s="46">
        <f>VLOOKUP($A66,PERTANYAAN!$A$18:$E$71,5,0)</f>
        <v>0.04</v>
      </c>
      <c r="F66" s="46"/>
      <c r="G66" s="159">
        <f>'HR (SADAM)'!M66</f>
        <v>1.6</v>
      </c>
      <c r="H66" s="159">
        <f>'USER1-SADAM'!M66</f>
        <v>1.6</v>
      </c>
      <c r="I66" s="159">
        <f>'USER2-SADAM'!M66</f>
        <v>2.4</v>
      </c>
      <c r="J66" s="159">
        <f>'MANAGER-SADAM'!M66</f>
        <v>2.4</v>
      </c>
      <c r="K66" s="33">
        <f t="shared" ref="K66:K67" si="15">AVERAGE(G66:J66)</f>
        <v>2</v>
      </c>
      <c r="L66" s="101"/>
    </row>
    <row r="67" spans="1:12" s="158" customFormat="1" ht="30" customHeight="1" x14ac:dyDescent="0.4">
      <c r="A67" s="99" t="s">
        <v>122</v>
      </c>
      <c r="B67" s="156" t="s">
        <v>6</v>
      </c>
      <c r="C67" s="101" t="str">
        <f>VLOOKUP($A67,PERTANYAAN!$A$18:$E$71,3,0)</f>
        <v>Tujuan Karir</v>
      </c>
      <c r="D67" s="101" t="str">
        <f>VLOOKUP($A67,PERTANYAAN!$A$18:$E$71,4,0)</f>
        <v>Sejauh yang anda tahu tentang Daniswara, apa tujuan anda berkarir/berkarya bersama Daniswara? Apa ada target posisi yang anda inginkan?</v>
      </c>
      <c r="E67" s="46">
        <f>VLOOKUP($A67,PERTANYAAN!$A$18:$E$71,5,0)</f>
        <v>0.01</v>
      </c>
      <c r="F67" s="46"/>
      <c r="G67" s="159">
        <f>'HR (SADAM)'!M67</f>
        <v>0.6</v>
      </c>
      <c r="H67" s="159">
        <f>'USER1-SADAM'!M67</f>
        <v>0.4</v>
      </c>
      <c r="I67" s="159">
        <f>'USER2-SADAM'!M67</f>
        <v>0.6</v>
      </c>
      <c r="J67" s="159">
        <f>'MANAGER-SADAM'!M67</f>
        <v>1</v>
      </c>
      <c r="K67" s="33">
        <f t="shared" si="15"/>
        <v>0.65</v>
      </c>
      <c r="L67" s="101"/>
    </row>
    <row r="68" spans="1:12" s="158" customFormat="1" x14ac:dyDescent="0.4">
      <c r="A68" s="99"/>
      <c r="B68" s="157"/>
      <c r="C68" s="101"/>
      <c r="D68" s="32"/>
      <c r="E68" s="46"/>
      <c r="F68" s="46"/>
      <c r="G68" s="157"/>
      <c r="H68" s="157"/>
      <c r="I68" s="157"/>
      <c r="J68" s="157"/>
      <c r="K68" s="33"/>
      <c r="L68" s="101"/>
    </row>
    <row r="69" spans="1:12" s="2" customFormat="1" x14ac:dyDescent="0.4">
      <c r="A69" s="3"/>
      <c r="B69" s="48" t="s">
        <v>101</v>
      </c>
      <c r="C69" s="49" t="s">
        <v>134</v>
      </c>
      <c r="D69" s="50"/>
      <c r="E69" s="51">
        <f>SUM(E70:E70)</f>
        <v>0.05</v>
      </c>
      <c r="F69" s="51"/>
      <c r="G69" s="54">
        <f t="shared" ref="G69:J69" si="16">SUM(G70)</f>
        <v>4.0000000000000009</v>
      </c>
      <c r="H69" s="54">
        <f t="shared" si="16"/>
        <v>4.0000000000000009</v>
      </c>
      <c r="I69" s="54">
        <f t="shared" si="16"/>
        <v>4.0000000000000009</v>
      </c>
      <c r="J69" s="54"/>
      <c r="K69" s="54">
        <f>SUM(K70)</f>
        <v>4.0000000000000009</v>
      </c>
      <c r="L69" s="49"/>
    </row>
    <row r="70" spans="1:12" s="158" customFormat="1" ht="30" customHeight="1" x14ac:dyDescent="0.4">
      <c r="A70" s="99" t="s">
        <v>123</v>
      </c>
      <c r="B70" s="156" t="s">
        <v>6</v>
      </c>
      <c r="C70" s="101" t="str">
        <f>VLOOKUP($A70,PERTANYAAN!$A$18:$E$71,3,0)</f>
        <v>Pertanyaan Spesifik User</v>
      </c>
      <c r="D70" s="101" t="str">
        <f>VLOOKUP($A70,PERTANYAAN!$A$18:$E$71,4,0)</f>
        <v>Jika dalam 1 team terjadi perselisihan,apa yang akan lakukan? Dan Jika terjadi kendala di lapangan, apa yang akan anda lakukan?</v>
      </c>
      <c r="E70" s="46">
        <f>VLOOKUP($A70,PERTANYAAN!$A$18:$E$71,5,0)</f>
        <v>0.05</v>
      </c>
      <c r="F70" s="46"/>
      <c r="G70" s="159">
        <f>'HR (SADAM)'!M70</f>
        <v>4.0000000000000009</v>
      </c>
      <c r="H70" s="159">
        <f>'USER1-SADAM'!M70</f>
        <v>4.0000000000000009</v>
      </c>
      <c r="I70" s="159">
        <f>'USER2-SADAM'!M70</f>
        <v>4.0000000000000009</v>
      </c>
      <c r="J70" s="159"/>
      <c r="K70" s="33">
        <f t="shared" ref="K70" si="17">AVERAGE(G70:J70)</f>
        <v>4.0000000000000009</v>
      </c>
      <c r="L70" s="101"/>
    </row>
    <row r="71" spans="1:12" x14ac:dyDescent="0.4">
      <c r="B71" s="105"/>
      <c r="C71" s="106"/>
      <c r="D71" s="31"/>
      <c r="E71" s="22"/>
      <c r="F71" s="22"/>
      <c r="G71" s="107"/>
      <c r="H71" s="107"/>
      <c r="I71" s="107"/>
      <c r="J71" s="107"/>
      <c r="K71" s="21"/>
      <c r="L71" s="106"/>
    </row>
    <row r="73" spans="1:12" x14ac:dyDescent="0.4">
      <c r="G73" s="26" t="s">
        <v>61</v>
      </c>
    </row>
    <row r="74" spans="1:12" x14ac:dyDescent="0.4">
      <c r="G74" s="94" t="s">
        <v>39</v>
      </c>
      <c r="H74" s="94" t="s">
        <v>29</v>
      </c>
      <c r="I74" s="95" t="s">
        <v>69</v>
      </c>
      <c r="J74" s="95"/>
    </row>
    <row r="75" spans="1:12" x14ac:dyDescent="0.4">
      <c r="G75" s="94" t="s">
        <v>40</v>
      </c>
      <c r="H75" s="94" t="s">
        <v>29</v>
      </c>
      <c r="I75" s="95" t="s">
        <v>70</v>
      </c>
      <c r="J75" s="95"/>
    </row>
    <row r="76" spans="1:12" x14ac:dyDescent="0.4">
      <c r="G76" s="94" t="s">
        <v>41</v>
      </c>
      <c r="H76" s="94" t="s">
        <v>29</v>
      </c>
      <c r="I76" s="95" t="s">
        <v>71</v>
      </c>
      <c r="J76" s="95"/>
    </row>
    <row r="77" spans="1:12" x14ac:dyDescent="0.4">
      <c r="G77" s="94" t="s">
        <v>42</v>
      </c>
      <c r="H77" s="94" t="s">
        <v>29</v>
      </c>
      <c r="I77" s="95" t="s">
        <v>72</v>
      </c>
      <c r="J77" s="95"/>
    </row>
    <row r="78" spans="1:12" x14ac:dyDescent="0.4">
      <c r="G78" s="94" t="s">
        <v>43</v>
      </c>
      <c r="H78" s="94" t="s">
        <v>29</v>
      </c>
      <c r="I78" s="95" t="s">
        <v>73</v>
      </c>
      <c r="J78" s="95"/>
    </row>
  </sheetData>
  <mergeCells count="8">
    <mergeCell ref="K13:K14"/>
    <mergeCell ref="L13:L14"/>
    <mergeCell ref="G13:J13"/>
    <mergeCell ref="A13:A14"/>
    <mergeCell ref="B13:B14"/>
    <mergeCell ref="C13:C14"/>
    <mergeCell ref="D13:D14"/>
    <mergeCell ref="E13:E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5E04E-9D77-4A2B-9699-2B146A7EF2B6}">
  <sheetPr>
    <tabColor rgb="FFFF0000"/>
  </sheetPr>
  <dimension ref="A1:L78"/>
  <sheetViews>
    <sheetView zoomScaleNormal="100" workbookViewId="0">
      <pane xSplit="1" ySplit="14" topLeftCell="B15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J24" sqref="J24"/>
    </sheetView>
  </sheetViews>
  <sheetFormatPr defaultRowHeight="14.6" outlineLevelRow="1" x14ac:dyDescent="0.4"/>
  <cols>
    <col min="1" max="1" width="17.69140625" style="93" customWidth="1"/>
    <col min="2" max="2" width="4.3828125" style="92" bestFit="1" customWidth="1"/>
    <col min="3" max="3" width="40.15234375" style="93" bestFit="1" customWidth="1"/>
    <col min="4" max="4" width="70.69140625" style="4" customWidth="1"/>
    <col min="5" max="5" width="9.23046875" style="5"/>
    <col min="6" max="6" width="1.69140625" style="5" customWidth="1"/>
    <col min="7" max="9" width="7.69140625" style="94" customWidth="1"/>
    <col min="10" max="10" width="10.15234375" style="94" bestFit="1" customWidth="1"/>
    <col min="11" max="11" width="9.23046875" style="4"/>
    <col min="12" max="12" width="16.84375" style="93" customWidth="1"/>
    <col min="13" max="16384" width="9.23046875" style="93"/>
  </cols>
  <sheetData>
    <row r="1" spans="1:12" x14ac:dyDescent="0.4">
      <c r="A1" s="2" t="s">
        <v>125</v>
      </c>
    </row>
    <row r="2" spans="1:12" x14ac:dyDescent="0.4">
      <c r="A2" s="2" t="s">
        <v>0</v>
      </c>
    </row>
    <row r="5" spans="1:12" x14ac:dyDescent="0.4">
      <c r="A5" s="2" t="s">
        <v>1</v>
      </c>
      <c r="B5" s="92" t="s">
        <v>29</v>
      </c>
      <c r="C5" s="2" t="s">
        <v>162</v>
      </c>
    </row>
    <row r="6" spans="1:12" x14ac:dyDescent="0.4">
      <c r="A6" s="2" t="s">
        <v>20</v>
      </c>
      <c r="B6" s="92" t="s">
        <v>29</v>
      </c>
      <c r="C6" s="93" t="s">
        <v>31</v>
      </c>
    </row>
    <row r="7" spans="1:12" x14ac:dyDescent="0.4">
      <c r="A7" s="2" t="s">
        <v>32</v>
      </c>
      <c r="B7" s="92" t="s">
        <v>29</v>
      </c>
      <c r="C7" s="93" t="s">
        <v>33</v>
      </c>
    </row>
    <row r="8" spans="1:12" x14ac:dyDescent="0.4">
      <c r="A8" s="2" t="s">
        <v>34</v>
      </c>
      <c r="B8" s="92" t="s">
        <v>29</v>
      </c>
      <c r="C8" s="93" t="s">
        <v>35</v>
      </c>
    </row>
    <row r="9" spans="1:12" x14ac:dyDescent="0.4">
      <c r="A9" s="2" t="s">
        <v>28</v>
      </c>
      <c r="B9" s="92" t="s">
        <v>29</v>
      </c>
      <c r="C9" s="93" t="s">
        <v>83</v>
      </c>
    </row>
    <row r="10" spans="1:12" x14ac:dyDescent="0.4">
      <c r="A10" s="2" t="s">
        <v>68</v>
      </c>
      <c r="B10" s="92" t="s">
        <v>29</v>
      </c>
      <c r="C10" s="2" t="s">
        <v>62</v>
      </c>
    </row>
    <row r="11" spans="1:12" x14ac:dyDescent="0.4">
      <c r="A11" s="2" t="s">
        <v>67</v>
      </c>
      <c r="B11" s="92" t="s">
        <v>29</v>
      </c>
      <c r="C11" s="24">
        <f>K16</f>
        <v>77.933333333333323</v>
      </c>
    </row>
    <row r="13" spans="1:12" s="2" customFormat="1" x14ac:dyDescent="0.4">
      <c r="A13" s="67" t="s">
        <v>124</v>
      </c>
      <c r="B13" s="68" t="s">
        <v>2</v>
      </c>
      <c r="C13" s="68" t="s">
        <v>3</v>
      </c>
      <c r="D13" s="73" t="s">
        <v>74</v>
      </c>
      <c r="E13" s="70" t="s">
        <v>19</v>
      </c>
      <c r="F13" s="42"/>
      <c r="G13" s="75" t="s">
        <v>37</v>
      </c>
      <c r="H13" s="76"/>
      <c r="I13" s="76"/>
      <c r="J13" s="77"/>
      <c r="K13" s="65" t="s">
        <v>17</v>
      </c>
      <c r="L13" s="66" t="s">
        <v>61</v>
      </c>
    </row>
    <row r="14" spans="1:12" s="2" customFormat="1" x14ac:dyDescent="0.4">
      <c r="A14" s="67"/>
      <c r="B14" s="68"/>
      <c r="C14" s="96"/>
      <c r="D14" s="74"/>
      <c r="E14" s="71"/>
      <c r="F14" s="44"/>
      <c r="G14" s="41" t="s">
        <v>68</v>
      </c>
      <c r="H14" s="41" t="s">
        <v>93</v>
      </c>
      <c r="I14" s="41" t="s">
        <v>94</v>
      </c>
      <c r="J14" s="41" t="s">
        <v>96</v>
      </c>
      <c r="K14" s="65"/>
      <c r="L14" s="66"/>
    </row>
    <row r="15" spans="1:12" s="2" customFormat="1" x14ac:dyDescent="0.4">
      <c r="A15" s="3"/>
      <c r="B15" s="10"/>
      <c r="C15" s="10"/>
      <c r="D15" s="10"/>
      <c r="E15" s="10"/>
      <c r="F15" s="9"/>
      <c r="G15" s="12"/>
      <c r="H15" s="12"/>
      <c r="I15" s="12"/>
      <c r="J15" s="12"/>
      <c r="K15" s="8"/>
      <c r="L15" s="13"/>
    </row>
    <row r="16" spans="1:12" s="2" customFormat="1" x14ac:dyDescent="0.4">
      <c r="B16" s="34"/>
      <c r="C16" s="35" t="s">
        <v>65</v>
      </c>
      <c r="D16" s="36"/>
      <c r="E16" s="37">
        <f>E17+E21+E27+E43+E60+E65+E69</f>
        <v>1</v>
      </c>
      <c r="F16" s="37"/>
      <c r="G16" s="40">
        <f t="shared" ref="G16:J16" si="0">G17+G21+G27+G43+G60+G65+G69</f>
        <v>79.7</v>
      </c>
      <c r="H16" s="40">
        <f t="shared" si="0"/>
        <v>81.900000000000006</v>
      </c>
      <c r="I16" s="40">
        <f t="shared" si="0"/>
        <v>78.599999999999994</v>
      </c>
      <c r="J16" s="40">
        <f t="shared" si="0"/>
        <v>67.2</v>
      </c>
      <c r="K16" s="40">
        <f>K17+K21+K27+K43+K60+K65+K69</f>
        <v>77.933333333333323</v>
      </c>
      <c r="L16" s="35"/>
    </row>
    <row r="17" spans="1:12" x14ac:dyDescent="0.4">
      <c r="B17" s="48" t="s">
        <v>66</v>
      </c>
      <c r="C17" s="49" t="s">
        <v>4</v>
      </c>
      <c r="D17" s="50"/>
      <c r="E17" s="51">
        <f>SUM(E18:E19)</f>
        <v>0.1</v>
      </c>
      <c r="F17" s="51"/>
      <c r="G17" s="54">
        <f t="shared" ref="G17:J17" si="1">SUM(G18:G20)</f>
        <v>4</v>
      </c>
      <c r="H17" s="54">
        <f t="shared" si="1"/>
        <v>4</v>
      </c>
      <c r="I17" s="54">
        <f t="shared" si="1"/>
        <v>4</v>
      </c>
      <c r="J17" s="54">
        <f t="shared" si="1"/>
        <v>4</v>
      </c>
      <c r="K17" s="54">
        <f>SUM(K18:K20)</f>
        <v>4</v>
      </c>
      <c r="L17" s="98"/>
    </row>
    <row r="18" spans="1:12" s="158" customFormat="1" ht="30" customHeight="1" x14ac:dyDescent="0.4">
      <c r="A18" s="99" t="s">
        <v>102</v>
      </c>
      <c r="B18" s="156">
        <v>1</v>
      </c>
      <c r="C18" s="101" t="str">
        <f>VLOOKUP($A18,PERTANYAAN!$A$18:$E$71,3,0)</f>
        <v>Pengalaman di dalam Daniswara Group</v>
      </c>
      <c r="D18" s="101" t="str">
        <f>VLOOKUP($A18,PERTANYAAN!$A$18:$E$71,4,0)</f>
        <v>Apakah ada Pengalaman di Daniswara Group? Bagaimana pandangan anda terkait Daniswara Group?</v>
      </c>
      <c r="E18" s="46">
        <f>VLOOKUP($A18,PERTANYAAN!$A$18:$E$71,5,0)</f>
        <v>0.06</v>
      </c>
      <c r="F18" s="46"/>
      <c r="G18" s="159">
        <f>'HR (IMAN)'!M18</f>
        <v>0</v>
      </c>
      <c r="H18" s="159">
        <f>'USER1-IMAN'!M18</f>
        <v>0</v>
      </c>
      <c r="I18" s="159">
        <f>'USER2-IMAN'!M18</f>
        <v>0</v>
      </c>
      <c r="J18" s="159">
        <f>'MANAGER-IMAN'!M18</f>
        <v>0</v>
      </c>
      <c r="K18" s="33">
        <f>AVERAGE(G18:J18)</f>
        <v>0</v>
      </c>
      <c r="L18" s="101"/>
    </row>
    <row r="19" spans="1:12" s="158" customFormat="1" ht="30" customHeight="1" x14ac:dyDescent="0.4">
      <c r="A19" s="99" t="s">
        <v>103</v>
      </c>
      <c r="B19" s="156">
        <f>B18+1</f>
        <v>2</v>
      </c>
      <c r="C19" s="101" t="str">
        <f>VLOOKUP($A19,PERTANYAAN!$A$18:$E$71,3,0)</f>
        <v>Pengalaman di luar Daniswara Group</v>
      </c>
      <c r="D19" s="101" t="str">
        <f>VLOOKUP($A19,PERTANYAAN!$A$18:$E$71,4,0)</f>
        <v>Jika tidak, apakah sudah ada pengalaman sejenis di luar Daniswara?</v>
      </c>
      <c r="E19" s="46">
        <f>VLOOKUP($A19,PERTANYAAN!$A$18:$E$71,5,0)</f>
        <v>0.04</v>
      </c>
      <c r="F19" s="46"/>
      <c r="G19" s="159">
        <f>'HR (IMAN)'!M19</f>
        <v>4</v>
      </c>
      <c r="H19" s="159">
        <f>'USER1-IMAN'!M19</f>
        <v>4</v>
      </c>
      <c r="I19" s="159">
        <f>'USER2-IMAN'!M19</f>
        <v>4</v>
      </c>
      <c r="J19" s="159">
        <f>'MANAGER-IMAN'!M19</f>
        <v>4</v>
      </c>
      <c r="K19" s="33">
        <f t="shared" ref="K19" si="2">AVERAGE(G19:J19)</f>
        <v>4</v>
      </c>
      <c r="L19" s="101"/>
    </row>
    <row r="20" spans="1:12" x14ac:dyDescent="0.4">
      <c r="A20" s="92"/>
      <c r="B20" s="104"/>
      <c r="C20" s="103"/>
      <c r="D20" s="30"/>
      <c r="E20" s="17"/>
      <c r="F20" s="17"/>
      <c r="G20" s="102"/>
      <c r="H20" s="102"/>
      <c r="I20" s="102"/>
      <c r="J20" s="102"/>
      <c r="K20" s="16"/>
      <c r="L20" s="103"/>
    </row>
    <row r="21" spans="1:12" x14ac:dyDescent="0.4">
      <c r="A21" s="92"/>
      <c r="B21" s="48" t="s">
        <v>42</v>
      </c>
      <c r="C21" s="49" t="s">
        <v>9</v>
      </c>
      <c r="D21" s="50"/>
      <c r="E21" s="51">
        <f>SUM(E22:E25)</f>
        <v>0.05</v>
      </c>
      <c r="F21" s="51"/>
      <c r="G21" s="54">
        <f t="shared" ref="G21:J21" si="3">SUM(G22:G25)</f>
        <v>4</v>
      </c>
      <c r="H21" s="54">
        <f t="shared" si="3"/>
        <v>4</v>
      </c>
      <c r="I21" s="54">
        <f t="shared" si="3"/>
        <v>4</v>
      </c>
      <c r="J21" s="54">
        <f t="shared" si="3"/>
        <v>4</v>
      </c>
      <c r="K21" s="54">
        <f>SUM(K22:K25)</f>
        <v>4</v>
      </c>
      <c r="L21" s="98"/>
    </row>
    <row r="22" spans="1:12" s="158" customFormat="1" ht="30" customHeight="1" x14ac:dyDescent="0.4">
      <c r="A22" s="99" t="s">
        <v>104</v>
      </c>
      <c r="B22" s="156">
        <v>1</v>
      </c>
      <c r="C22" s="101" t="str">
        <f>VLOOKUP($A22,PERTANYAAN!$A$18:$E$71,3,0)</f>
        <v>Identitas (KTP &amp; KK)</v>
      </c>
      <c r="D22" s="101" t="str">
        <f>VLOOKUP($A22,PERTANYAAN!$A$18:$E$71,4,0)</f>
        <v>Apakah ada Identitas Diri KTP &amp; KK?</v>
      </c>
      <c r="E22" s="46">
        <f>VLOOKUP($A22,PERTANYAAN!$A$18:$E$71,5,0)</f>
        <v>0.01</v>
      </c>
      <c r="F22" s="46"/>
      <c r="G22" s="159">
        <f>'HR (IMAN)'!M22</f>
        <v>1</v>
      </c>
      <c r="H22" s="159">
        <f>'USER1-IMAN'!M22</f>
        <v>1</v>
      </c>
      <c r="I22" s="159">
        <f>'USER2-IMAN'!M22</f>
        <v>1</v>
      </c>
      <c r="J22" s="159">
        <f>'MANAGER-IMAN'!M22</f>
        <v>1</v>
      </c>
      <c r="K22" s="33">
        <f t="shared" ref="K22:K25" si="4">AVERAGE(G22:J22)</f>
        <v>1</v>
      </c>
      <c r="L22" s="101"/>
    </row>
    <row r="23" spans="1:12" s="158" customFormat="1" ht="30" customHeight="1" x14ac:dyDescent="0.4">
      <c r="A23" s="99" t="s">
        <v>105</v>
      </c>
      <c r="B23" s="156">
        <f>B22+1</f>
        <v>2</v>
      </c>
      <c r="C23" s="101" t="str">
        <f>VLOOKUP($A23,PERTANYAAN!$A$18:$E$71,3,0)</f>
        <v>SIM A (utk jabatan di Divisi Operasi)</v>
      </c>
      <c r="D23" s="101" t="str">
        <f>VLOOKUP($A23,PERTANYAAN!$A$18:$E$71,4,0)</f>
        <v>Apakah sudah memiliki SIM A?</v>
      </c>
      <c r="E23" s="46">
        <f>VLOOKUP($A23,PERTANYAAN!$A$18:$E$71,5,0)</f>
        <v>0.02</v>
      </c>
      <c r="F23" s="46"/>
      <c r="G23" s="159">
        <f>'HR (IMAN)'!M23</f>
        <v>2</v>
      </c>
      <c r="H23" s="159">
        <f>'USER1-IMAN'!M23</f>
        <v>2</v>
      </c>
      <c r="I23" s="159">
        <f>'USER2-IMAN'!M23</f>
        <v>2</v>
      </c>
      <c r="J23" s="159">
        <f>'MANAGER-IMAN'!M23</f>
        <v>2</v>
      </c>
      <c r="K23" s="33">
        <f t="shared" si="4"/>
        <v>2</v>
      </c>
      <c r="L23" s="101"/>
    </row>
    <row r="24" spans="1:12" s="158" customFormat="1" ht="30" customHeight="1" x14ac:dyDescent="0.4">
      <c r="A24" s="99" t="s">
        <v>106</v>
      </c>
      <c r="B24" s="156">
        <f t="shared" ref="B24:B25" si="5">B23+1</f>
        <v>3</v>
      </c>
      <c r="C24" s="101" t="str">
        <f>VLOOKUP($A24,PERTANYAAN!$A$18:$E$71,3,0)</f>
        <v>SIM C</v>
      </c>
      <c r="D24" s="101" t="str">
        <f>VLOOKUP($A24,PERTANYAAN!$A$18:$E$71,4,0)</f>
        <v>Apakah sudah memiliki SIM C?</v>
      </c>
      <c r="E24" s="46">
        <f>VLOOKUP($A24,PERTANYAAN!$A$18:$E$71,5,0)</f>
        <v>0.01</v>
      </c>
      <c r="F24" s="46"/>
      <c r="G24" s="159">
        <f>'HR (IMAN)'!M24</f>
        <v>0</v>
      </c>
      <c r="H24" s="159">
        <f>'USER1-IMAN'!M24</f>
        <v>0</v>
      </c>
      <c r="I24" s="159">
        <f>'USER2-IMAN'!M24</f>
        <v>0</v>
      </c>
      <c r="J24" s="159">
        <f>'MANAGER-IMAN'!M24</f>
        <v>0</v>
      </c>
      <c r="K24" s="33">
        <f t="shared" si="4"/>
        <v>0</v>
      </c>
      <c r="L24" s="101"/>
    </row>
    <row r="25" spans="1:12" s="158" customFormat="1" ht="30" customHeight="1" x14ac:dyDescent="0.4">
      <c r="A25" s="99" t="s">
        <v>107</v>
      </c>
      <c r="B25" s="156">
        <f t="shared" si="5"/>
        <v>4</v>
      </c>
      <c r="C25" s="101" t="str">
        <f>VLOOKUP($A25,PERTANYAAN!$A$18:$E$71,3,0)</f>
        <v>NPWP</v>
      </c>
      <c r="D25" s="101" t="str">
        <f>VLOOKUP($A25,PERTANYAAN!$A$18:$E$71,4,0)</f>
        <v>Apakah sudah Memiliki NPWP?</v>
      </c>
      <c r="E25" s="46">
        <f>VLOOKUP($A25,PERTANYAAN!$A$18:$E$71,5,0)</f>
        <v>0.01</v>
      </c>
      <c r="F25" s="46"/>
      <c r="G25" s="159">
        <f>'HR (IMAN)'!M25</f>
        <v>1</v>
      </c>
      <c r="H25" s="159">
        <f>'USER1-IMAN'!M25</f>
        <v>1</v>
      </c>
      <c r="I25" s="159">
        <f>'USER2-IMAN'!M25</f>
        <v>1</v>
      </c>
      <c r="J25" s="159">
        <f>'MANAGER-IMAN'!M25</f>
        <v>1</v>
      </c>
      <c r="K25" s="33">
        <f t="shared" si="4"/>
        <v>1</v>
      </c>
      <c r="L25" s="101"/>
    </row>
    <row r="26" spans="1:12" x14ac:dyDescent="0.4">
      <c r="A26" s="92"/>
      <c r="B26" s="104"/>
      <c r="C26" s="103"/>
      <c r="D26" s="30"/>
      <c r="E26" s="17"/>
      <c r="F26" s="17"/>
      <c r="G26" s="102"/>
      <c r="H26" s="102"/>
      <c r="I26" s="102"/>
      <c r="J26" s="102"/>
      <c r="K26" s="16"/>
      <c r="L26" s="103"/>
    </row>
    <row r="27" spans="1:12" x14ac:dyDescent="0.4">
      <c r="A27" s="92"/>
      <c r="B27" s="48" t="s">
        <v>97</v>
      </c>
      <c r="C27" s="49" t="s">
        <v>21</v>
      </c>
      <c r="D27" s="56"/>
      <c r="E27" s="51">
        <f>E28</f>
        <v>0.35000000000000003</v>
      </c>
      <c r="F27" s="57"/>
      <c r="G27" s="54">
        <f t="shared" ref="G27:J27" si="6">G28</f>
        <v>30.5</v>
      </c>
      <c r="H27" s="54">
        <f t="shared" si="6"/>
        <v>33</v>
      </c>
      <c r="I27" s="54">
        <f t="shared" si="6"/>
        <v>32.5</v>
      </c>
      <c r="J27" s="54">
        <f t="shared" si="6"/>
        <v>33</v>
      </c>
      <c r="K27" s="54">
        <f>K28</f>
        <v>32.25</v>
      </c>
      <c r="L27" s="98"/>
    </row>
    <row r="28" spans="1:12" x14ac:dyDescent="0.4">
      <c r="A28" s="99" t="s">
        <v>108</v>
      </c>
      <c r="B28" s="100">
        <v>1</v>
      </c>
      <c r="C28" s="101" t="str">
        <f>VLOOKUP($A28,PERTANYAAN!$A$18:$E$71,3,0)</f>
        <v>Operasi / Logistik</v>
      </c>
      <c r="D28" s="30"/>
      <c r="E28" s="46">
        <f>VLOOKUP($A28,PERTANYAAN!$A$18:$E$71,5,0)</f>
        <v>0.35000000000000003</v>
      </c>
      <c r="F28" s="17"/>
      <c r="G28" s="16">
        <f t="shared" ref="G28:J28" si="7">SUM(G29:G33)</f>
        <v>30.5</v>
      </c>
      <c r="H28" s="16">
        <f t="shared" si="7"/>
        <v>33</v>
      </c>
      <c r="I28" s="16">
        <f t="shared" si="7"/>
        <v>32.5</v>
      </c>
      <c r="J28" s="16">
        <f t="shared" si="7"/>
        <v>33</v>
      </c>
      <c r="K28" s="16">
        <f>SUM(K29:K33)</f>
        <v>32.25</v>
      </c>
      <c r="L28" s="103"/>
    </row>
    <row r="29" spans="1:12" s="158" customFormat="1" ht="30" customHeight="1" x14ac:dyDescent="0.4">
      <c r="A29" s="99" t="s">
        <v>109</v>
      </c>
      <c r="B29" s="156" t="s">
        <v>6</v>
      </c>
      <c r="C29" s="101" t="str">
        <f>VLOOKUP($A29,PERTANYAAN!$A$18:$E$71,3,0)</f>
        <v>Skill Mengemudi</v>
      </c>
      <c r="D29" s="101" t="str">
        <f>VLOOKUP($A29,PERTANYAAN!$A$18:$E$71,4,0)</f>
        <v>Coba ceritakan pengalaman / keahlian dalam mengemudi mobil angkut/logistik?</v>
      </c>
      <c r="E29" s="46">
        <f>VLOOKUP($A29,PERTANYAAN!$A$18:$E$71,5,0)</f>
        <v>0.15</v>
      </c>
      <c r="F29" s="46"/>
      <c r="G29" s="159">
        <f>'HR (IMAN)'!M29</f>
        <v>15</v>
      </c>
      <c r="H29" s="159">
        <f>'USER1-IMAN'!M29</f>
        <v>15</v>
      </c>
      <c r="I29" s="159">
        <f>'USER2-IMAN'!M29</f>
        <v>15</v>
      </c>
      <c r="J29" s="159">
        <f>'MANAGER-IMAN'!M29</f>
        <v>15</v>
      </c>
      <c r="K29" s="33">
        <f t="shared" ref="K29:K32" si="8">AVERAGE(G29:J29)</f>
        <v>15</v>
      </c>
      <c r="L29" s="101"/>
    </row>
    <row r="30" spans="1:12" s="158" customFormat="1" ht="30" customHeight="1" x14ac:dyDescent="0.4">
      <c r="A30" s="99" t="s">
        <v>110</v>
      </c>
      <c r="B30" s="156" t="s">
        <v>6</v>
      </c>
      <c r="C30" s="101" t="str">
        <f>VLOOKUP($A30,PERTANYAAN!$A$18:$E$71,3,0)</f>
        <v>Flow Administrasi Logistik</v>
      </c>
      <c r="D30" s="101" t="str">
        <f>VLOOKUP($A30,PERTANYAAN!$A$18:$E$71,4,0)</f>
        <v>Coba ceritakan yang anda ketahui tentang alur administrasi logistik? Dan kaitannya dengan Ms. Office</v>
      </c>
      <c r="E30" s="46">
        <f>VLOOKUP($A30,PERTANYAAN!$A$18:$E$71,5,0)</f>
        <v>0.1</v>
      </c>
      <c r="F30" s="46"/>
      <c r="G30" s="159">
        <f>'HR (IMAN)'!M30</f>
        <v>6</v>
      </c>
      <c r="H30" s="159">
        <f>'USER1-IMAN'!M30</f>
        <v>8.0000000000000018</v>
      </c>
      <c r="I30" s="159">
        <f>'USER2-IMAN'!M30</f>
        <v>8.0000000000000018</v>
      </c>
      <c r="J30" s="159">
        <f>'MANAGER-IMAN'!M30</f>
        <v>8.0000000000000018</v>
      </c>
      <c r="K30" s="33">
        <f t="shared" si="8"/>
        <v>7.5000000000000018</v>
      </c>
      <c r="L30" s="101"/>
    </row>
    <row r="31" spans="1:12" s="158" customFormat="1" ht="30" customHeight="1" x14ac:dyDescent="0.4">
      <c r="A31" s="99" t="s">
        <v>111</v>
      </c>
      <c r="B31" s="156" t="s">
        <v>6</v>
      </c>
      <c r="C31" s="101" t="str">
        <f>VLOOKUP($A31,PERTANYAAN!$A$18:$E$71,3,0)</f>
        <v>Pengetahuan terkait logistik</v>
      </c>
      <c r="D31" s="101" t="str">
        <f>VLOOKUP($A31,PERTANYAAN!$A$18:$E$71,4,0)</f>
        <v>Ceritakan yang anda ketahui terkait dengan logistik?</v>
      </c>
      <c r="E31" s="46">
        <f>VLOOKUP($A31,PERTANYAAN!$A$18:$E$71,5,0)</f>
        <v>2.5000000000000001E-2</v>
      </c>
      <c r="F31" s="46"/>
      <c r="G31" s="159">
        <f>'HR (IMAN)'!M31</f>
        <v>2.0000000000000004</v>
      </c>
      <c r="H31" s="159">
        <f>'USER1-IMAN'!M31</f>
        <v>2.5</v>
      </c>
      <c r="I31" s="159">
        <f>'USER2-IMAN'!M31</f>
        <v>2.0000000000000004</v>
      </c>
      <c r="J31" s="159">
        <f>'MANAGER-IMAN'!M31</f>
        <v>2.5</v>
      </c>
      <c r="K31" s="33">
        <f t="shared" si="8"/>
        <v>2.25</v>
      </c>
      <c r="L31" s="101"/>
    </row>
    <row r="32" spans="1:12" s="158" customFormat="1" ht="30" customHeight="1" x14ac:dyDescent="0.4">
      <c r="A32" s="99" t="s">
        <v>112</v>
      </c>
      <c r="B32" s="156" t="s">
        <v>6</v>
      </c>
      <c r="C32" s="101" t="str">
        <f>VLOOKUP($A32,PERTANYAAN!$A$18:$E$71,3,0)</f>
        <v>Pengalaman di Bongkar Muat</v>
      </c>
      <c r="D32" s="101" t="str">
        <f>VLOOKUP($A32,PERTANYAAN!$A$18:$E$71,4,0)</f>
        <v>Apakah memiliki pengalaman terkait bongkar muat?sedalam apa?</v>
      </c>
      <c r="E32" s="46">
        <f>VLOOKUP($A32,PERTANYAAN!$A$18:$E$71,5,0)</f>
        <v>7.4999999999999997E-2</v>
      </c>
      <c r="F32" s="46"/>
      <c r="G32" s="159">
        <f>'HR (IMAN)'!M32</f>
        <v>7.5</v>
      </c>
      <c r="H32" s="159">
        <f>'USER1-IMAN'!M32</f>
        <v>7.5</v>
      </c>
      <c r="I32" s="159">
        <f>'USER2-IMAN'!M32</f>
        <v>7.5</v>
      </c>
      <c r="J32" s="159">
        <f>'MANAGER-IMAN'!M32</f>
        <v>7.5</v>
      </c>
      <c r="K32" s="33">
        <f t="shared" si="8"/>
        <v>7.5</v>
      </c>
      <c r="L32" s="101"/>
    </row>
    <row r="33" spans="1:12" x14ac:dyDescent="0.4">
      <c r="A33" s="92"/>
      <c r="B33" s="100"/>
      <c r="C33" s="103"/>
      <c r="D33" s="30"/>
      <c r="E33" s="17"/>
      <c r="F33" s="17"/>
      <c r="G33" s="102"/>
      <c r="H33" s="102"/>
      <c r="I33" s="102"/>
      <c r="J33" s="102"/>
      <c r="K33" s="16"/>
      <c r="L33" s="103"/>
    </row>
    <row r="34" spans="1:12" hidden="1" outlineLevel="1" x14ac:dyDescent="0.4">
      <c r="A34" s="92"/>
      <c r="B34" s="100">
        <f>B28+1</f>
        <v>2</v>
      </c>
      <c r="C34" s="103" t="s">
        <v>22</v>
      </c>
      <c r="D34" s="30"/>
      <c r="E34" s="17">
        <f>SUM(E35:E37)</f>
        <v>0.35</v>
      </c>
      <c r="F34" s="17"/>
      <c r="G34" s="102"/>
      <c r="H34" s="102"/>
      <c r="I34" s="102"/>
      <c r="J34" s="102"/>
      <c r="K34" s="16"/>
      <c r="L34" s="103"/>
    </row>
    <row r="35" spans="1:12" hidden="1" outlineLevel="1" x14ac:dyDescent="0.4">
      <c r="A35" s="92"/>
      <c r="B35" s="100" t="s">
        <v>6</v>
      </c>
      <c r="C35" s="103" t="s">
        <v>44</v>
      </c>
      <c r="D35" s="30"/>
      <c r="E35" s="17">
        <v>0.15</v>
      </c>
      <c r="F35" s="17"/>
      <c r="G35" s="102"/>
      <c r="H35" s="102"/>
      <c r="I35" s="102"/>
      <c r="J35" s="102"/>
      <c r="K35" s="16"/>
      <c r="L35" s="103"/>
    </row>
    <row r="36" spans="1:12" hidden="1" outlineLevel="1" x14ac:dyDescent="0.4">
      <c r="A36" s="92"/>
      <c r="B36" s="100" t="s">
        <v>6</v>
      </c>
      <c r="C36" s="103" t="s">
        <v>50</v>
      </c>
      <c r="D36" s="30"/>
      <c r="E36" s="17">
        <v>0.2</v>
      </c>
      <c r="F36" s="17"/>
      <c r="G36" s="102"/>
      <c r="H36" s="102"/>
      <c r="I36" s="102"/>
      <c r="J36" s="102"/>
      <c r="K36" s="16"/>
      <c r="L36" s="103"/>
    </row>
    <row r="37" spans="1:12" hidden="1" outlineLevel="1" x14ac:dyDescent="0.4">
      <c r="A37" s="92"/>
      <c r="B37" s="100"/>
      <c r="C37" s="103"/>
      <c r="D37" s="30"/>
      <c r="E37" s="17"/>
      <c r="F37" s="17"/>
      <c r="G37" s="102"/>
      <c r="H37" s="102"/>
      <c r="I37" s="102"/>
      <c r="J37" s="102"/>
      <c r="K37" s="16"/>
      <c r="L37" s="103"/>
    </row>
    <row r="38" spans="1:12" hidden="1" outlineLevel="1" x14ac:dyDescent="0.4">
      <c r="A38" s="92"/>
      <c r="B38" s="104">
        <v>3</v>
      </c>
      <c r="C38" s="103" t="s">
        <v>23</v>
      </c>
      <c r="D38" s="30"/>
      <c r="E38" s="17"/>
      <c r="F38" s="17"/>
      <c r="G38" s="102"/>
      <c r="H38" s="102"/>
      <c r="I38" s="102"/>
      <c r="J38" s="102"/>
      <c r="K38" s="16"/>
      <c r="L38" s="103"/>
    </row>
    <row r="39" spans="1:12" hidden="1" outlineLevel="1" x14ac:dyDescent="0.4">
      <c r="A39" s="92"/>
      <c r="B39" s="100" t="s">
        <v>6</v>
      </c>
      <c r="C39" s="103" t="s">
        <v>52</v>
      </c>
      <c r="D39" s="30"/>
      <c r="E39" s="17"/>
      <c r="F39" s="17"/>
      <c r="G39" s="102"/>
      <c r="H39" s="102"/>
      <c r="I39" s="102"/>
      <c r="J39" s="102"/>
      <c r="K39" s="16"/>
      <c r="L39" s="103"/>
    </row>
    <row r="40" spans="1:12" hidden="1" outlineLevel="1" x14ac:dyDescent="0.4">
      <c r="A40" s="92"/>
      <c r="B40" s="100" t="s">
        <v>6</v>
      </c>
      <c r="C40" s="103" t="s">
        <v>53</v>
      </c>
      <c r="D40" s="30"/>
      <c r="E40" s="17"/>
      <c r="F40" s="17"/>
      <c r="G40" s="102"/>
      <c r="H40" s="102"/>
      <c r="I40" s="102"/>
      <c r="J40" s="102"/>
      <c r="K40" s="16"/>
      <c r="L40" s="103"/>
    </row>
    <row r="41" spans="1:12" hidden="1" outlineLevel="1" x14ac:dyDescent="0.4">
      <c r="A41" s="92"/>
      <c r="B41" s="100" t="s">
        <v>6</v>
      </c>
      <c r="C41" s="103"/>
      <c r="D41" s="30"/>
      <c r="E41" s="17"/>
      <c r="F41" s="17"/>
      <c r="G41" s="102"/>
      <c r="H41" s="102"/>
      <c r="I41" s="102"/>
      <c r="J41" s="102"/>
      <c r="K41" s="16"/>
      <c r="L41" s="103"/>
    </row>
    <row r="42" spans="1:12" hidden="1" outlineLevel="1" x14ac:dyDescent="0.4">
      <c r="A42" s="92"/>
      <c r="B42" s="104"/>
      <c r="C42" s="103"/>
      <c r="D42" s="30"/>
      <c r="E42" s="17"/>
      <c r="F42" s="17"/>
      <c r="G42" s="102"/>
      <c r="H42" s="102"/>
      <c r="I42" s="102"/>
      <c r="J42" s="102"/>
      <c r="K42" s="16"/>
      <c r="L42" s="103"/>
    </row>
    <row r="43" spans="1:12" s="2" customFormat="1" collapsed="1" x14ac:dyDescent="0.4">
      <c r="A43" s="3"/>
      <c r="B43" s="48" t="s">
        <v>98</v>
      </c>
      <c r="C43" s="49" t="s">
        <v>24</v>
      </c>
      <c r="D43" s="50"/>
      <c r="E43" s="51">
        <f>E44</f>
        <v>0.25</v>
      </c>
      <c r="F43" s="51"/>
      <c r="G43" s="54">
        <f t="shared" ref="G43:J43" si="9">G44</f>
        <v>20.500000000000004</v>
      </c>
      <c r="H43" s="54">
        <f t="shared" si="9"/>
        <v>20.500000000000004</v>
      </c>
      <c r="I43" s="54">
        <f t="shared" si="9"/>
        <v>19.000000000000004</v>
      </c>
      <c r="J43" s="54">
        <f t="shared" si="9"/>
        <v>15.5</v>
      </c>
      <c r="K43" s="54">
        <f>K44</f>
        <v>18.875000000000004</v>
      </c>
      <c r="L43" s="49"/>
    </row>
    <row r="44" spans="1:12" x14ac:dyDescent="0.4">
      <c r="A44" s="92" t="s">
        <v>113</v>
      </c>
      <c r="B44" s="104">
        <v>1</v>
      </c>
      <c r="C44" s="101" t="str">
        <f>VLOOKUP($A44,PERTANYAAN!$A$18:$E$71,3,0)</f>
        <v>Staff</v>
      </c>
      <c r="D44" s="30"/>
      <c r="E44" s="17">
        <f>SUM(E45:E49)</f>
        <v>0.25</v>
      </c>
      <c r="F44" s="17"/>
      <c r="G44" s="16">
        <f t="shared" ref="G44:J44" si="10">SUM(G45:G48)</f>
        <v>20.500000000000004</v>
      </c>
      <c r="H44" s="16">
        <f t="shared" si="10"/>
        <v>20.500000000000004</v>
      </c>
      <c r="I44" s="16">
        <f t="shared" si="10"/>
        <v>19.000000000000004</v>
      </c>
      <c r="J44" s="16">
        <f t="shared" si="10"/>
        <v>15.5</v>
      </c>
      <c r="K44" s="16">
        <f>SUM(K45:K48)</f>
        <v>18.875000000000004</v>
      </c>
      <c r="L44" s="103"/>
    </row>
    <row r="45" spans="1:12" s="158" customFormat="1" ht="30" customHeight="1" x14ac:dyDescent="0.4">
      <c r="A45" s="99" t="s">
        <v>114</v>
      </c>
      <c r="B45" s="156" t="s">
        <v>6</v>
      </c>
      <c r="C45" s="101" t="str">
        <f>VLOOKUP($A45,PERTANYAAN!$A$18:$E$71,3,0)</f>
        <v>Kepemimpinan</v>
      </c>
      <c r="D45" s="101" t="str">
        <f>VLOOKUP($A45,PERTANYAAN!$A$18:$E$71,4,0)</f>
        <v>Jika terjadi suatu diskusi dalam group/kelompok yang belum menemukan titik temu, apa yang akan anda lakukan?</v>
      </c>
      <c r="E45" s="46">
        <f>VLOOKUP($A45,PERTANYAAN!$A$18:$E$71,5,0)</f>
        <v>2.5000000000000001E-2</v>
      </c>
      <c r="F45" s="46"/>
      <c r="G45" s="159">
        <f>'HR (IMAN)'!M45</f>
        <v>1.0000000000000002</v>
      </c>
      <c r="H45" s="159">
        <f>'USER1-IMAN'!M45</f>
        <v>1.0000000000000002</v>
      </c>
      <c r="I45" s="159">
        <f>'USER2-IMAN'!M45</f>
        <v>1.0000000000000002</v>
      </c>
      <c r="J45" s="159">
        <f>'MANAGER-IMAN'!M45</f>
        <v>0.50000000000000011</v>
      </c>
      <c r="K45" s="33">
        <f t="shared" ref="K45:K48" si="11">AVERAGE(G45:J45)</f>
        <v>0.87500000000000022</v>
      </c>
      <c r="L45" s="101"/>
    </row>
    <row r="46" spans="1:12" s="158" customFormat="1" ht="30" customHeight="1" x14ac:dyDescent="0.4">
      <c r="A46" s="99" t="s">
        <v>115</v>
      </c>
      <c r="B46" s="156" t="s">
        <v>6</v>
      </c>
      <c r="C46" s="101" t="str">
        <f>VLOOKUP($A46,PERTANYAAN!$A$18:$E$71,3,0)</f>
        <v>Komunikasi</v>
      </c>
      <c r="D46" s="101" t="str">
        <f>VLOOKUP($A46,PERTANYAAN!$A$18:$E$71,4,0)</f>
        <v>Bagaimana hubungan kerjasama antar sesama pegawai / organisasi / kelompok?(jika memiliki pengalaman kerja)</v>
      </c>
      <c r="E46" s="46">
        <f>VLOOKUP($A46,PERTANYAAN!$A$18:$E$71,5,0)</f>
        <v>0.1</v>
      </c>
      <c r="F46" s="46"/>
      <c r="G46" s="159">
        <f>'HR (IMAN)'!M46</f>
        <v>8.0000000000000018</v>
      </c>
      <c r="H46" s="159">
        <f>'USER1-IMAN'!M46</f>
        <v>8.0000000000000018</v>
      </c>
      <c r="I46" s="159">
        <f>'USER2-IMAN'!M46</f>
        <v>8.0000000000000018</v>
      </c>
      <c r="J46" s="159">
        <f>'MANAGER-IMAN'!M46</f>
        <v>6</v>
      </c>
      <c r="K46" s="33">
        <f t="shared" si="11"/>
        <v>7.5000000000000018</v>
      </c>
      <c r="L46" s="101"/>
    </row>
    <row r="47" spans="1:12" s="158" customFormat="1" ht="30" customHeight="1" x14ac:dyDescent="0.4">
      <c r="A47" s="99" t="s">
        <v>116</v>
      </c>
      <c r="B47" s="156" t="s">
        <v>6</v>
      </c>
      <c r="C47" s="101" t="str">
        <f>VLOOKUP($A47,PERTANYAAN!$A$18:$E$71,3,0)</f>
        <v>Patuh pada Peraturan / Commitment</v>
      </c>
      <c r="D47" s="101" t="str">
        <f>VLOOKUP($A47,PERTANYAAN!$A$18:$E$71,4,0)</f>
        <v>Bagaimana pandangan anda terkait perusahaan dan aturan yang dapat berubah ubah sesuai arah perusahaan?</v>
      </c>
      <c r="E47" s="46">
        <f>VLOOKUP($A47,PERTANYAAN!$A$18:$E$71,5,0)</f>
        <v>0.05</v>
      </c>
      <c r="F47" s="46"/>
      <c r="G47" s="159">
        <f>'HR (IMAN)'!M47</f>
        <v>4.0000000000000009</v>
      </c>
      <c r="H47" s="159">
        <f>'USER1-IMAN'!M47</f>
        <v>4.0000000000000009</v>
      </c>
      <c r="I47" s="159">
        <f>'USER2-IMAN'!M47</f>
        <v>4.0000000000000009</v>
      </c>
      <c r="J47" s="159">
        <f>'MANAGER-IMAN'!M47</f>
        <v>3</v>
      </c>
      <c r="K47" s="33">
        <f t="shared" si="11"/>
        <v>3.7500000000000009</v>
      </c>
      <c r="L47" s="101"/>
    </row>
    <row r="48" spans="1:12" s="158" customFormat="1" ht="30" customHeight="1" x14ac:dyDescent="0.4">
      <c r="A48" s="99" t="s">
        <v>117</v>
      </c>
      <c r="B48" s="156" t="s">
        <v>6</v>
      </c>
      <c r="C48" s="101" t="str">
        <f>VLOOKUP($A48,PERTANYAAN!$A$18:$E$71,3,0)</f>
        <v>Determinasi thd tekanan</v>
      </c>
      <c r="D48" s="101" t="str">
        <f>VLOOKUP($A48,PERTANYAAN!$A$18:$E$71,4,0)</f>
        <v>Bagaimana pandangan anda jika anda dituntut pada pekerjaan diluar dari waktu normal dalam bekerja?</v>
      </c>
      <c r="E48" s="46">
        <f>VLOOKUP($A48,PERTANYAAN!$A$18:$E$71,5,0)</f>
        <v>7.4999999999999997E-2</v>
      </c>
      <c r="F48" s="46"/>
      <c r="G48" s="159">
        <f>'HR (IMAN)'!M48</f>
        <v>7.5</v>
      </c>
      <c r="H48" s="159">
        <f>'USER1-IMAN'!M48</f>
        <v>7.5</v>
      </c>
      <c r="I48" s="159">
        <f>'USER2-IMAN'!M48</f>
        <v>6</v>
      </c>
      <c r="J48" s="159">
        <f>'MANAGER-IMAN'!M48</f>
        <v>6</v>
      </c>
      <c r="K48" s="33">
        <f t="shared" si="11"/>
        <v>6.75</v>
      </c>
      <c r="L48" s="101"/>
    </row>
    <row r="49" spans="1:12" x14ac:dyDescent="0.4">
      <c r="A49" s="92"/>
      <c r="B49" s="100"/>
      <c r="C49" s="103"/>
      <c r="D49" s="30"/>
      <c r="E49" s="17"/>
      <c r="F49" s="17"/>
      <c r="G49" s="102"/>
      <c r="H49" s="102"/>
      <c r="I49" s="102"/>
      <c r="J49" s="102"/>
      <c r="K49" s="16"/>
      <c r="L49" s="103"/>
    </row>
    <row r="50" spans="1:12" hidden="1" outlineLevel="1" x14ac:dyDescent="0.4">
      <c r="A50" s="92"/>
      <c r="B50" s="104">
        <v>2</v>
      </c>
      <c r="C50" s="103" t="s">
        <v>26</v>
      </c>
      <c r="D50" s="30"/>
      <c r="E50" s="17"/>
      <c r="F50" s="17"/>
      <c r="G50" s="102"/>
      <c r="H50" s="102"/>
      <c r="I50" s="102"/>
      <c r="J50" s="102"/>
      <c r="K50" s="16"/>
      <c r="L50" s="103"/>
    </row>
    <row r="51" spans="1:12" hidden="1" outlineLevel="1" x14ac:dyDescent="0.4">
      <c r="A51" s="92"/>
      <c r="B51" s="100" t="s">
        <v>6</v>
      </c>
      <c r="C51" s="103" t="s">
        <v>54</v>
      </c>
      <c r="D51" s="30"/>
      <c r="E51" s="17"/>
      <c r="F51" s="17"/>
      <c r="G51" s="102"/>
      <c r="H51" s="102"/>
      <c r="I51" s="102"/>
      <c r="J51" s="102"/>
      <c r="K51" s="16"/>
      <c r="L51" s="103"/>
    </row>
    <row r="52" spans="1:12" hidden="1" outlineLevel="1" x14ac:dyDescent="0.4">
      <c r="A52" s="92"/>
      <c r="B52" s="100" t="s">
        <v>6</v>
      </c>
      <c r="C52" s="103" t="s">
        <v>55</v>
      </c>
      <c r="D52" s="30"/>
      <c r="E52" s="17"/>
      <c r="F52" s="17"/>
      <c r="G52" s="102"/>
      <c r="H52" s="102"/>
      <c r="I52" s="102"/>
      <c r="J52" s="102"/>
      <c r="K52" s="16"/>
      <c r="L52" s="103"/>
    </row>
    <row r="53" spans="1:12" hidden="1" outlineLevel="1" x14ac:dyDescent="0.4">
      <c r="A53" s="92"/>
      <c r="B53" s="100" t="s">
        <v>6</v>
      </c>
      <c r="C53" s="103" t="s">
        <v>56</v>
      </c>
      <c r="D53" s="30"/>
      <c r="E53" s="17"/>
      <c r="F53" s="17"/>
      <c r="G53" s="102"/>
      <c r="H53" s="102"/>
      <c r="I53" s="102"/>
      <c r="J53" s="102"/>
      <c r="K53" s="16"/>
      <c r="L53" s="103"/>
    </row>
    <row r="54" spans="1:12" hidden="1" outlineLevel="1" x14ac:dyDescent="0.4">
      <c r="A54" s="92"/>
      <c r="B54" s="100"/>
      <c r="C54" s="103"/>
      <c r="D54" s="30"/>
      <c r="E54" s="17"/>
      <c r="F54" s="17"/>
      <c r="G54" s="102"/>
      <c r="H54" s="102"/>
      <c r="I54" s="102"/>
      <c r="J54" s="102"/>
      <c r="K54" s="16"/>
      <c r="L54" s="103"/>
    </row>
    <row r="55" spans="1:12" hidden="1" outlineLevel="1" x14ac:dyDescent="0.4">
      <c r="A55" s="92"/>
      <c r="B55" s="104">
        <v>3</v>
      </c>
      <c r="C55" s="103" t="s">
        <v>27</v>
      </c>
      <c r="D55" s="30"/>
      <c r="E55" s="17"/>
      <c r="F55" s="17"/>
      <c r="G55" s="102"/>
      <c r="H55" s="102"/>
      <c r="I55" s="102"/>
      <c r="J55" s="102"/>
      <c r="K55" s="16"/>
      <c r="L55" s="103"/>
    </row>
    <row r="56" spans="1:12" hidden="1" outlineLevel="1" x14ac:dyDescent="0.4">
      <c r="A56" s="92"/>
      <c r="B56" s="100" t="s">
        <v>6</v>
      </c>
      <c r="C56" s="103" t="s">
        <v>54</v>
      </c>
      <c r="D56" s="30"/>
      <c r="E56" s="17"/>
      <c r="F56" s="17"/>
      <c r="G56" s="102"/>
      <c r="H56" s="102"/>
      <c r="I56" s="102"/>
      <c r="J56" s="102"/>
      <c r="K56" s="16"/>
      <c r="L56" s="103"/>
    </row>
    <row r="57" spans="1:12" hidden="1" outlineLevel="1" x14ac:dyDescent="0.4">
      <c r="A57" s="92"/>
      <c r="B57" s="100" t="s">
        <v>6</v>
      </c>
      <c r="C57" s="103" t="s">
        <v>56</v>
      </c>
      <c r="D57" s="30"/>
      <c r="E57" s="17"/>
      <c r="F57" s="17"/>
      <c r="G57" s="102"/>
      <c r="H57" s="102"/>
      <c r="I57" s="102"/>
      <c r="J57" s="102"/>
      <c r="K57" s="16"/>
      <c r="L57" s="103"/>
    </row>
    <row r="58" spans="1:12" hidden="1" outlineLevel="1" x14ac:dyDescent="0.4">
      <c r="A58" s="92"/>
      <c r="B58" s="100" t="s">
        <v>6</v>
      </c>
      <c r="C58" s="103" t="s">
        <v>57</v>
      </c>
      <c r="D58" s="30"/>
      <c r="E58" s="17"/>
      <c r="F58" s="17"/>
      <c r="G58" s="102"/>
      <c r="H58" s="102"/>
      <c r="I58" s="102"/>
      <c r="J58" s="102"/>
      <c r="K58" s="16"/>
      <c r="L58" s="103"/>
    </row>
    <row r="59" spans="1:12" hidden="1" outlineLevel="1" x14ac:dyDescent="0.4">
      <c r="A59" s="92"/>
      <c r="B59" s="104"/>
      <c r="C59" s="103"/>
      <c r="D59" s="30"/>
      <c r="E59" s="17"/>
      <c r="F59" s="17"/>
      <c r="G59" s="102"/>
      <c r="H59" s="102"/>
      <c r="I59" s="102"/>
      <c r="J59" s="102"/>
      <c r="K59" s="16"/>
      <c r="L59" s="103"/>
    </row>
    <row r="60" spans="1:12" s="2" customFormat="1" collapsed="1" x14ac:dyDescent="0.4">
      <c r="A60" s="3"/>
      <c r="B60" s="48" t="s">
        <v>99</v>
      </c>
      <c r="C60" s="49" t="s">
        <v>46</v>
      </c>
      <c r="D60" s="50"/>
      <c r="E60" s="51">
        <f>SUM(E61:E64)</f>
        <v>0.15</v>
      </c>
      <c r="F60" s="51"/>
      <c r="G60" s="54">
        <f t="shared" ref="G60:J60" si="12">SUM(G61:G64)</f>
        <v>11.5</v>
      </c>
      <c r="H60" s="54">
        <f t="shared" si="12"/>
        <v>13</v>
      </c>
      <c r="I60" s="54">
        <f t="shared" si="12"/>
        <v>13.5</v>
      </c>
      <c r="J60" s="54">
        <f t="shared" si="12"/>
        <v>8.5</v>
      </c>
      <c r="K60" s="54">
        <f>SUM(K61:K64)</f>
        <v>11.625</v>
      </c>
      <c r="L60" s="49"/>
    </row>
    <row r="61" spans="1:12" s="158" customFormat="1" ht="30" customHeight="1" x14ac:dyDescent="0.4">
      <c r="A61" s="99" t="s">
        <v>118</v>
      </c>
      <c r="B61" s="156" t="s">
        <v>6</v>
      </c>
      <c r="C61" s="101" t="str">
        <f>VLOOKUP($A61,PERTANYAAN!$A$18:$E$71,3,0)</f>
        <v>Antusiasme / Keinginan bergabung</v>
      </c>
      <c r="D61" s="101" t="str">
        <f>VLOOKUP($A61,PERTANYAAN!$A$18:$E$71,4,0)</f>
        <v>Apa yang anda pikirkan setelah mendengar / mengetahui Daniswara membutuhkan personil baru di posisi ini?</v>
      </c>
      <c r="E61" s="46">
        <f>VLOOKUP($A61,PERTANYAAN!$A$18:$E$71,5,0)</f>
        <v>7.4999999999999997E-2</v>
      </c>
      <c r="F61" s="46"/>
      <c r="G61" s="159">
        <f>'HR (IMAN)'!M61</f>
        <v>7.5</v>
      </c>
      <c r="H61" s="159">
        <f>'USER1-IMAN'!M61</f>
        <v>7.5</v>
      </c>
      <c r="I61" s="159">
        <f>'USER2-IMAN'!M61</f>
        <v>7.5</v>
      </c>
      <c r="J61" s="159">
        <f>'MANAGER-IMAN'!M61</f>
        <v>4.5</v>
      </c>
      <c r="K61" s="33">
        <f t="shared" ref="K61:K63" si="13">AVERAGE(G61:J61)</f>
        <v>6.75</v>
      </c>
      <c r="L61" s="101"/>
    </row>
    <row r="62" spans="1:12" s="158" customFormat="1" ht="30" customHeight="1" x14ac:dyDescent="0.4">
      <c r="A62" s="99" t="s">
        <v>119</v>
      </c>
      <c r="B62" s="156" t="s">
        <v>6</v>
      </c>
      <c r="C62" s="101" t="str">
        <f>VLOOKUP($A62,PERTANYAAN!$A$18:$E$71,3,0)</f>
        <v>Inisiatif</v>
      </c>
      <c r="D62" s="101" t="str">
        <f>VLOOKUP($A62,PERTANYAAN!$A$18:$E$71,4,0)</f>
        <v>Jika ada hal-hal yang kiranya belum diatur oleh perusahaan atau belum dapat arahan oleh atasan, apa yang biasanya anda lakukan?</v>
      </c>
      <c r="E62" s="46">
        <f>VLOOKUP($A62,PERTANYAAN!$A$18:$E$71,5,0)</f>
        <v>0.05</v>
      </c>
      <c r="F62" s="46"/>
      <c r="G62" s="159">
        <f>'HR (IMAN)'!M62</f>
        <v>2.0000000000000004</v>
      </c>
      <c r="H62" s="159">
        <f>'USER1-IMAN'!M62</f>
        <v>3</v>
      </c>
      <c r="I62" s="159">
        <f>'USER2-IMAN'!M62</f>
        <v>4.0000000000000009</v>
      </c>
      <c r="J62" s="159">
        <f>'MANAGER-IMAN'!M62</f>
        <v>2.0000000000000004</v>
      </c>
      <c r="K62" s="33">
        <f t="shared" si="13"/>
        <v>2.75</v>
      </c>
      <c r="L62" s="101"/>
    </row>
    <row r="63" spans="1:12" s="158" customFormat="1" ht="29.15" x14ac:dyDescent="0.4">
      <c r="A63" s="99" t="s">
        <v>120</v>
      </c>
      <c r="B63" s="156" t="s">
        <v>6</v>
      </c>
      <c r="C63" s="101" t="str">
        <f>VLOOKUP($A63,PERTANYAAN!$A$18:$E$71,3,0)</f>
        <v>Adaptif</v>
      </c>
      <c r="D63" s="101" t="str">
        <f>VLOOKUP($A63,PERTANYAAN!$A$18:$E$71,4,0)</f>
        <v>Coba ceritakan pengalaman anda terkait dengan berada dalam lingkungan yang baru / hal yang baru?</v>
      </c>
      <c r="E63" s="46">
        <f>VLOOKUP($A63,PERTANYAAN!$A$18:$E$71,5,0)</f>
        <v>2.5000000000000001E-2</v>
      </c>
      <c r="F63" s="46"/>
      <c r="G63" s="159">
        <f>'HR (IMAN)'!M63</f>
        <v>2.0000000000000004</v>
      </c>
      <c r="H63" s="159">
        <f>'USER1-IMAN'!M63</f>
        <v>2.5</v>
      </c>
      <c r="I63" s="159">
        <f>'USER2-IMAN'!M63</f>
        <v>2.0000000000000004</v>
      </c>
      <c r="J63" s="159">
        <f>'MANAGER-IMAN'!M63</f>
        <v>2.0000000000000004</v>
      </c>
      <c r="K63" s="33">
        <f t="shared" si="13"/>
        <v>2.125</v>
      </c>
      <c r="L63" s="101"/>
    </row>
    <row r="64" spans="1:12" x14ac:dyDescent="0.4">
      <c r="A64" s="92"/>
      <c r="B64" s="104"/>
      <c r="C64" s="103"/>
      <c r="D64" s="30"/>
      <c r="E64" s="17"/>
      <c r="F64" s="17"/>
      <c r="G64" s="102"/>
      <c r="H64" s="102"/>
      <c r="I64" s="102"/>
      <c r="J64" s="102"/>
      <c r="K64" s="16"/>
      <c r="L64" s="103"/>
    </row>
    <row r="65" spans="1:12" s="2" customFormat="1" x14ac:dyDescent="0.4">
      <c r="A65" s="3"/>
      <c r="B65" s="48" t="s">
        <v>100</v>
      </c>
      <c r="C65" s="49" t="s">
        <v>48</v>
      </c>
      <c r="D65" s="50"/>
      <c r="E65" s="51">
        <f>SUM(E66:E68)</f>
        <v>0.05</v>
      </c>
      <c r="F65" s="51"/>
      <c r="G65" s="54">
        <f t="shared" ref="G65:J65" si="14">SUM(G66:G68)</f>
        <v>4.2</v>
      </c>
      <c r="H65" s="54">
        <f t="shared" si="14"/>
        <v>3.4</v>
      </c>
      <c r="I65" s="54">
        <f t="shared" si="14"/>
        <v>1.6</v>
      </c>
      <c r="J65" s="54">
        <f t="shared" si="14"/>
        <v>2.2000000000000002</v>
      </c>
      <c r="K65" s="54">
        <f>SUM(K66:K68)</f>
        <v>2.8499999999999996</v>
      </c>
      <c r="L65" s="49"/>
    </row>
    <row r="66" spans="1:12" s="158" customFormat="1" ht="30" customHeight="1" x14ac:dyDescent="0.4">
      <c r="A66" s="99" t="s">
        <v>121</v>
      </c>
      <c r="B66" s="156" t="s">
        <v>6</v>
      </c>
      <c r="C66" s="101" t="str">
        <f>VLOOKUP($A66,PERTANYAAN!$A$18:$E$71,3,0)</f>
        <v>Ekspektasi Salary (Mengukur Budget &amp; Skill)</v>
      </c>
      <c r="D66" s="101" t="str">
        <f>VLOOKUP($A66,PERTANYAAN!$A$18:$E$71,4,0)</f>
        <v>Menurut anda, berapa ekspektasi salary/gaji yang anda inginkan? Bagaimana jika perusahaan belum memenuhinya?</v>
      </c>
      <c r="E66" s="46">
        <f>VLOOKUP($A66,PERTANYAAN!$A$18:$E$71,5,0)</f>
        <v>0.04</v>
      </c>
      <c r="F66" s="46"/>
      <c r="G66" s="159">
        <f>'HR (IMAN)'!M66</f>
        <v>3.2</v>
      </c>
      <c r="H66" s="159">
        <f>'USER1-IMAN'!M66</f>
        <v>2.4</v>
      </c>
      <c r="I66" s="159">
        <f>'USER2-IMAN'!M66</f>
        <v>1.6</v>
      </c>
      <c r="J66" s="159">
        <f>'MANAGER-IMAN'!M66</f>
        <v>1.6</v>
      </c>
      <c r="K66" s="33">
        <f t="shared" ref="K66:K67" si="15">AVERAGE(G66:J66)</f>
        <v>2.1999999999999997</v>
      </c>
      <c r="L66" s="101"/>
    </row>
    <row r="67" spans="1:12" s="158" customFormat="1" ht="30" customHeight="1" x14ac:dyDescent="0.4">
      <c r="A67" s="99" t="s">
        <v>122</v>
      </c>
      <c r="B67" s="156" t="s">
        <v>6</v>
      </c>
      <c r="C67" s="101" t="str">
        <f>VLOOKUP($A67,PERTANYAAN!$A$18:$E$71,3,0)</f>
        <v>Tujuan Karir</v>
      </c>
      <c r="D67" s="101" t="str">
        <f>VLOOKUP($A67,PERTANYAAN!$A$18:$E$71,4,0)</f>
        <v>Sejauh yang anda tahu tentang Daniswara, apa tujuan anda berkarir/berkarya bersama Daniswara? Apa ada target posisi yang anda inginkan?</v>
      </c>
      <c r="E67" s="46">
        <f>VLOOKUP($A67,PERTANYAAN!$A$18:$E$71,5,0)</f>
        <v>0.01</v>
      </c>
      <c r="F67" s="46"/>
      <c r="G67" s="159">
        <f>'HR (IMAN)'!M67</f>
        <v>1</v>
      </c>
      <c r="H67" s="159">
        <f>'USER1-IMAN'!M67</f>
        <v>1</v>
      </c>
      <c r="I67" s="159">
        <f>'USER2-IMAN'!M67</f>
        <v>0</v>
      </c>
      <c r="J67" s="159">
        <f>'MANAGER-IMAN'!M67</f>
        <v>0.6</v>
      </c>
      <c r="K67" s="33">
        <f t="shared" si="15"/>
        <v>0.65</v>
      </c>
      <c r="L67" s="101"/>
    </row>
    <row r="68" spans="1:12" s="158" customFormat="1" x14ac:dyDescent="0.4">
      <c r="A68" s="99"/>
      <c r="B68" s="157"/>
      <c r="C68" s="101"/>
      <c r="D68" s="32"/>
      <c r="E68" s="46"/>
      <c r="F68" s="46"/>
      <c r="G68" s="157"/>
      <c r="H68" s="157"/>
      <c r="I68" s="157"/>
      <c r="J68" s="157"/>
      <c r="K68" s="33"/>
      <c r="L68" s="101"/>
    </row>
    <row r="69" spans="1:12" s="2" customFormat="1" x14ac:dyDescent="0.4">
      <c r="A69" s="3"/>
      <c r="B69" s="48" t="s">
        <v>101</v>
      </c>
      <c r="C69" s="49" t="s">
        <v>134</v>
      </c>
      <c r="D69" s="50"/>
      <c r="E69" s="51">
        <f>SUM(E70:E70)</f>
        <v>0.05</v>
      </c>
      <c r="F69" s="51"/>
      <c r="G69" s="54">
        <f t="shared" ref="G69:J69" si="16">SUM(G70)</f>
        <v>5</v>
      </c>
      <c r="H69" s="54">
        <f t="shared" si="16"/>
        <v>4.0000000000000009</v>
      </c>
      <c r="I69" s="54">
        <f t="shared" si="16"/>
        <v>4.0000000000000009</v>
      </c>
      <c r="J69" s="54"/>
      <c r="K69" s="54">
        <f>SUM(K70)</f>
        <v>4.333333333333333</v>
      </c>
      <c r="L69" s="49"/>
    </row>
    <row r="70" spans="1:12" s="158" customFormat="1" ht="30" customHeight="1" x14ac:dyDescent="0.4">
      <c r="A70" s="99" t="s">
        <v>123</v>
      </c>
      <c r="B70" s="156" t="s">
        <v>6</v>
      </c>
      <c r="C70" s="101" t="str">
        <f>VLOOKUP($A70,PERTANYAAN!$A$18:$E$71,3,0)</f>
        <v>Pertanyaan Spesifik User</v>
      </c>
      <c r="D70" s="101" t="str">
        <f>VLOOKUP($A70,PERTANYAAN!$A$18:$E$71,4,0)</f>
        <v>Jika dalam 1 team terjadi perselisihan,apa yang akan lakukan? Dan Jika terjadi kendala di lapangan, apa yang akan anda lakukan?</v>
      </c>
      <c r="E70" s="46">
        <f>VLOOKUP($A70,PERTANYAAN!$A$18:$E$71,5,0)</f>
        <v>0.05</v>
      </c>
      <c r="F70" s="46"/>
      <c r="G70" s="159">
        <f>'HR (IMAN)'!M70</f>
        <v>5</v>
      </c>
      <c r="H70" s="159">
        <f>'USER1-IMAN'!M70</f>
        <v>4.0000000000000009</v>
      </c>
      <c r="I70" s="159">
        <f>'USER2-IMAN'!M70</f>
        <v>4.0000000000000009</v>
      </c>
      <c r="J70" s="159"/>
      <c r="K70" s="33">
        <f t="shared" ref="K70" si="17">AVERAGE(G70:J70)</f>
        <v>4.333333333333333</v>
      </c>
      <c r="L70" s="101"/>
    </row>
    <row r="71" spans="1:12" x14ac:dyDescent="0.4">
      <c r="B71" s="105"/>
      <c r="C71" s="106"/>
      <c r="D71" s="31"/>
      <c r="E71" s="22"/>
      <c r="F71" s="22"/>
      <c r="G71" s="107"/>
      <c r="H71" s="107"/>
      <c r="I71" s="107"/>
      <c r="J71" s="107"/>
      <c r="K71" s="21"/>
      <c r="L71" s="106"/>
    </row>
    <row r="73" spans="1:12" x14ac:dyDescent="0.4">
      <c r="G73" s="26" t="s">
        <v>61</v>
      </c>
    </row>
    <row r="74" spans="1:12" x14ac:dyDescent="0.4">
      <c r="G74" s="94" t="s">
        <v>39</v>
      </c>
      <c r="H74" s="94" t="s">
        <v>29</v>
      </c>
      <c r="I74" s="95" t="s">
        <v>69</v>
      </c>
      <c r="J74" s="95"/>
    </row>
    <row r="75" spans="1:12" x14ac:dyDescent="0.4">
      <c r="G75" s="94" t="s">
        <v>40</v>
      </c>
      <c r="H75" s="94" t="s">
        <v>29</v>
      </c>
      <c r="I75" s="95" t="s">
        <v>70</v>
      </c>
      <c r="J75" s="95"/>
    </row>
    <row r="76" spans="1:12" x14ac:dyDescent="0.4">
      <c r="G76" s="94" t="s">
        <v>41</v>
      </c>
      <c r="H76" s="94" t="s">
        <v>29</v>
      </c>
      <c r="I76" s="95" t="s">
        <v>71</v>
      </c>
      <c r="J76" s="95"/>
    </row>
    <row r="77" spans="1:12" x14ac:dyDescent="0.4">
      <c r="G77" s="94" t="s">
        <v>42</v>
      </c>
      <c r="H77" s="94" t="s">
        <v>29</v>
      </c>
      <c r="I77" s="95" t="s">
        <v>72</v>
      </c>
      <c r="J77" s="95"/>
    </row>
    <row r="78" spans="1:12" x14ac:dyDescent="0.4">
      <c r="G78" s="94" t="s">
        <v>43</v>
      </c>
      <c r="H78" s="94" t="s">
        <v>29</v>
      </c>
      <c r="I78" s="95" t="s">
        <v>73</v>
      </c>
      <c r="J78" s="95"/>
    </row>
  </sheetData>
  <mergeCells count="8">
    <mergeCell ref="K13:K14"/>
    <mergeCell ref="L13:L14"/>
    <mergeCell ref="A13:A14"/>
    <mergeCell ref="B13:B14"/>
    <mergeCell ref="C13:C14"/>
    <mergeCell ref="D13:D14"/>
    <mergeCell ref="E13:E14"/>
    <mergeCell ref="G13:J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35DBF-4983-4B10-BECB-CDE1EAF173B0}">
  <sheetPr>
    <tabColor rgb="FFFF0000"/>
  </sheetPr>
  <dimension ref="A1:L78"/>
  <sheetViews>
    <sheetView zoomScaleNormal="100" workbookViewId="0">
      <pane xSplit="1" ySplit="14" topLeftCell="B15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J23" sqref="J23"/>
    </sheetView>
  </sheetViews>
  <sheetFormatPr defaultRowHeight="14.6" outlineLevelRow="1" x14ac:dyDescent="0.4"/>
  <cols>
    <col min="1" max="1" width="17.69140625" style="93" customWidth="1"/>
    <col min="2" max="2" width="4.3828125" style="92" bestFit="1" customWidth="1"/>
    <col min="3" max="3" width="40.15234375" style="93" bestFit="1" customWidth="1"/>
    <col min="4" max="4" width="70.69140625" style="4" customWidth="1"/>
    <col min="5" max="5" width="9.23046875" style="5"/>
    <col min="6" max="6" width="1.69140625" style="5" customWidth="1"/>
    <col min="7" max="9" width="7.69140625" style="94" customWidth="1"/>
    <col min="10" max="10" width="10.15234375" style="94" bestFit="1" customWidth="1"/>
    <col min="11" max="11" width="9.23046875" style="4"/>
    <col min="12" max="12" width="16.84375" style="93" customWidth="1"/>
    <col min="13" max="16384" width="9.23046875" style="93"/>
  </cols>
  <sheetData>
    <row r="1" spans="1:12" x14ac:dyDescent="0.4">
      <c r="A1" s="2" t="s">
        <v>125</v>
      </c>
    </row>
    <row r="2" spans="1:12" x14ac:dyDescent="0.4">
      <c r="A2" s="2" t="s">
        <v>0</v>
      </c>
    </row>
    <row r="5" spans="1:12" x14ac:dyDescent="0.4">
      <c r="A5" s="2" t="s">
        <v>1</v>
      </c>
      <c r="B5" s="92" t="s">
        <v>29</v>
      </c>
      <c r="C5" s="2" t="s">
        <v>146</v>
      </c>
    </row>
    <row r="6" spans="1:12" x14ac:dyDescent="0.4">
      <c r="A6" s="2" t="s">
        <v>20</v>
      </c>
      <c r="B6" s="92" t="s">
        <v>29</v>
      </c>
      <c r="C6" s="93" t="s">
        <v>31</v>
      </c>
    </row>
    <row r="7" spans="1:12" x14ac:dyDescent="0.4">
      <c r="A7" s="2" t="s">
        <v>32</v>
      </c>
      <c r="B7" s="92" t="s">
        <v>29</v>
      </c>
      <c r="C7" s="93" t="s">
        <v>33</v>
      </c>
    </row>
    <row r="8" spans="1:12" x14ac:dyDescent="0.4">
      <c r="A8" s="2" t="s">
        <v>34</v>
      </c>
      <c r="B8" s="92" t="s">
        <v>29</v>
      </c>
      <c r="C8" s="93" t="s">
        <v>35</v>
      </c>
    </row>
    <row r="9" spans="1:12" x14ac:dyDescent="0.4">
      <c r="A9" s="2" t="s">
        <v>28</v>
      </c>
      <c r="B9" s="92" t="s">
        <v>29</v>
      </c>
      <c r="C9" s="93" t="s">
        <v>83</v>
      </c>
    </row>
    <row r="10" spans="1:12" x14ac:dyDescent="0.4">
      <c r="A10" s="2" t="s">
        <v>68</v>
      </c>
      <c r="B10" s="92" t="s">
        <v>29</v>
      </c>
      <c r="C10" s="2" t="s">
        <v>62</v>
      </c>
    </row>
    <row r="11" spans="1:12" x14ac:dyDescent="0.4">
      <c r="A11" s="2" t="s">
        <v>67</v>
      </c>
      <c r="B11" s="92" t="s">
        <v>29</v>
      </c>
      <c r="C11" s="24">
        <f>K16</f>
        <v>84.75</v>
      </c>
    </row>
    <row r="13" spans="1:12" s="2" customFormat="1" x14ac:dyDescent="0.4">
      <c r="A13" s="67" t="s">
        <v>124</v>
      </c>
      <c r="B13" s="68" t="s">
        <v>2</v>
      </c>
      <c r="C13" s="68" t="s">
        <v>3</v>
      </c>
      <c r="D13" s="73" t="s">
        <v>74</v>
      </c>
      <c r="E13" s="70" t="s">
        <v>19</v>
      </c>
      <c r="F13" s="42"/>
      <c r="G13" s="75" t="s">
        <v>37</v>
      </c>
      <c r="H13" s="76"/>
      <c r="I13" s="76"/>
      <c r="J13" s="77"/>
      <c r="K13" s="65" t="s">
        <v>17</v>
      </c>
      <c r="L13" s="66" t="s">
        <v>61</v>
      </c>
    </row>
    <row r="14" spans="1:12" s="2" customFormat="1" x14ac:dyDescent="0.4">
      <c r="A14" s="67"/>
      <c r="B14" s="68"/>
      <c r="C14" s="96"/>
      <c r="D14" s="74"/>
      <c r="E14" s="71"/>
      <c r="F14" s="44"/>
      <c r="G14" s="41" t="s">
        <v>68</v>
      </c>
      <c r="H14" s="41" t="s">
        <v>93</v>
      </c>
      <c r="I14" s="41" t="s">
        <v>94</v>
      </c>
      <c r="J14" s="41" t="s">
        <v>96</v>
      </c>
      <c r="K14" s="65"/>
      <c r="L14" s="66"/>
    </row>
    <row r="15" spans="1:12" s="2" customFormat="1" x14ac:dyDescent="0.4">
      <c r="A15" s="3"/>
      <c r="B15" s="10"/>
      <c r="C15" s="10"/>
      <c r="D15" s="10"/>
      <c r="E15" s="10"/>
      <c r="F15" s="9"/>
      <c r="G15" s="12"/>
      <c r="H15" s="12"/>
      <c r="I15" s="12"/>
      <c r="J15" s="12"/>
      <c r="K15" s="8"/>
      <c r="L15" s="13"/>
    </row>
    <row r="16" spans="1:12" s="2" customFormat="1" x14ac:dyDescent="0.4">
      <c r="B16" s="34"/>
      <c r="C16" s="35" t="s">
        <v>65</v>
      </c>
      <c r="D16" s="36"/>
      <c r="E16" s="37">
        <f>E17+E21+E27+E43+E60+E65+E69</f>
        <v>1</v>
      </c>
      <c r="F16" s="37"/>
      <c r="G16" s="40">
        <f t="shared" ref="G16:J16" si="0">G17+G21+G27+G43+G60+G65+G69</f>
        <v>88</v>
      </c>
      <c r="H16" s="40">
        <f t="shared" si="0"/>
        <v>86</v>
      </c>
      <c r="I16" s="40">
        <f t="shared" si="0"/>
        <v>83</v>
      </c>
      <c r="J16" s="40">
        <f t="shared" si="0"/>
        <v>77</v>
      </c>
      <c r="K16" s="40">
        <f>K17+K21+K27+K43+K60+K65+K69</f>
        <v>84.75</v>
      </c>
      <c r="L16" s="35"/>
    </row>
    <row r="17" spans="1:12" x14ac:dyDescent="0.4">
      <c r="B17" s="48" t="s">
        <v>66</v>
      </c>
      <c r="C17" s="49" t="s">
        <v>4</v>
      </c>
      <c r="D17" s="50"/>
      <c r="E17" s="51">
        <f>SUM(E18:E19)</f>
        <v>0.1</v>
      </c>
      <c r="F17" s="51"/>
      <c r="G17" s="54">
        <f t="shared" ref="G17:J17" si="1">SUM(G18:G20)</f>
        <v>6</v>
      </c>
      <c r="H17" s="54">
        <f t="shared" si="1"/>
        <v>6</v>
      </c>
      <c r="I17" s="54">
        <f t="shared" si="1"/>
        <v>6</v>
      </c>
      <c r="J17" s="54">
        <f t="shared" si="1"/>
        <v>10</v>
      </c>
      <c r="K17" s="54">
        <f>SUM(K18:K20)</f>
        <v>7</v>
      </c>
      <c r="L17" s="98"/>
    </row>
    <row r="18" spans="1:12" s="158" customFormat="1" ht="30" customHeight="1" x14ac:dyDescent="0.4">
      <c r="A18" s="99" t="s">
        <v>102</v>
      </c>
      <c r="B18" s="156">
        <v>1</v>
      </c>
      <c r="C18" s="101" t="str">
        <f>VLOOKUP($A18,PERTANYAAN!$A$18:$E$71,3,0)</f>
        <v>Pengalaman di dalam Daniswara Group</v>
      </c>
      <c r="D18" s="101" t="str">
        <f>VLOOKUP($A18,PERTANYAAN!$A$18:$E$71,4,0)</f>
        <v>Apakah ada Pengalaman di Daniswara Group? Bagaimana pandangan anda terkait Daniswara Group?</v>
      </c>
      <c r="E18" s="46">
        <f>VLOOKUP($A18,PERTANYAAN!$A$18:$E$71,5,0)</f>
        <v>0.06</v>
      </c>
      <c r="F18" s="46"/>
      <c r="G18" s="159">
        <f>'HR (DENY)'!M18</f>
        <v>6</v>
      </c>
      <c r="H18" s="159">
        <f>'USER1-DENY'!M18</f>
        <v>6</v>
      </c>
      <c r="I18" s="159">
        <f>'USER2-DENY'!M18</f>
        <v>6</v>
      </c>
      <c r="J18" s="159">
        <f>'MANAGER-DENY'!M18</f>
        <v>6</v>
      </c>
      <c r="K18" s="33">
        <f>AVERAGE(G18:J18)</f>
        <v>6</v>
      </c>
      <c r="L18" s="101"/>
    </row>
    <row r="19" spans="1:12" s="158" customFormat="1" ht="30" customHeight="1" x14ac:dyDescent="0.4">
      <c r="A19" s="99" t="s">
        <v>103</v>
      </c>
      <c r="B19" s="156">
        <f>B18+1</f>
        <v>2</v>
      </c>
      <c r="C19" s="101" t="str">
        <f>VLOOKUP($A19,PERTANYAAN!$A$18:$E$71,3,0)</f>
        <v>Pengalaman di luar Daniswara Group</v>
      </c>
      <c r="D19" s="101" t="str">
        <f>VLOOKUP($A19,PERTANYAAN!$A$18:$E$71,4,0)</f>
        <v>Jika tidak, apakah sudah ada pengalaman sejenis di luar Daniswara?</v>
      </c>
      <c r="E19" s="46">
        <f>VLOOKUP($A19,PERTANYAAN!$A$18:$E$71,5,0)</f>
        <v>0.04</v>
      </c>
      <c r="F19" s="46"/>
      <c r="G19" s="159">
        <f>'HR (DENY)'!M19</f>
        <v>0</v>
      </c>
      <c r="H19" s="159">
        <f>'USER1-DENY'!M19</f>
        <v>0</v>
      </c>
      <c r="I19" s="159">
        <f>'USER2-DENY'!M19</f>
        <v>0</v>
      </c>
      <c r="J19" s="159">
        <f>'MANAGER-DENY'!M19</f>
        <v>4</v>
      </c>
      <c r="K19" s="33">
        <f t="shared" ref="K19" si="2">AVERAGE(G19:J19)</f>
        <v>1</v>
      </c>
      <c r="L19" s="101"/>
    </row>
    <row r="20" spans="1:12" x14ac:dyDescent="0.4">
      <c r="A20" s="92"/>
      <c r="B20" s="104"/>
      <c r="C20" s="103"/>
      <c r="D20" s="30"/>
      <c r="E20" s="17"/>
      <c r="F20" s="17"/>
      <c r="G20" s="102"/>
      <c r="H20" s="102"/>
      <c r="I20" s="102"/>
      <c r="J20" s="102"/>
      <c r="K20" s="16"/>
      <c r="L20" s="103"/>
    </row>
    <row r="21" spans="1:12" x14ac:dyDescent="0.4">
      <c r="A21" s="92"/>
      <c r="B21" s="48" t="s">
        <v>42</v>
      </c>
      <c r="C21" s="49" t="s">
        <v>9</v>
      </c>
      <c r="D21" s="50"/>
      <c r="E21" s="51">
        <f>SUM(E22:E25)</f>
        <v>0.05</v>
      </c>
      <c r="F21" s="51"/>
      <c r="G21" s="54">
        <f t="shared" ref="G21:J21" si="3">SUM(G22:G25)</f>
        <v>5</v>
      </c>
      <c r="H21" s="54">
        <f t="shared" si="3"/>
        <v>5</v>
      </c>
      <c r="I21" s="54">
        <f t="shared" si="3"/>
        <v>3</v>
      </c>
      <c r="J21" s="54">
        <f t="shared" si="3"/>
        <v>3</v>
      </c>
      <c r="K21" s="54">
        <f>SUM(K22:K25)</f>
        <v>4</v>
      </c>
      <c r="L21" s="98"/>
    </row>
    <row r="22" spans="1:12" s="158" customFormat="1" ht="30" customHeight="1" x14ac:dyDescent="0.4">
      <c r="A22" s="99" t="s">
        <v>104</v>
      </c>
      <c r="B22" s="156">
        <v>1</v>
      </c>
      <c r="C22" s="101" t="str">
        <f>VLOOKUP($A22,PERTANYAAN!$A$18:$E$71,3,0)</f>
        <v>Identitas (KTP &amp; KK)</v>
      </c>
      <c r="D22" s="101" t="str">
        <f>VLOOKUP($A22,PERTANYAAN!$A$18:$E$71,4,0)</f>
        <v>Apakah ada Identitas Diri KTP &amp; KK?</v>
      </c>
      <c r="E22" s="46">
        <f>VLOOKUP($A22,PERTANYAAN!$A$18:$E$71,5,0)</f>
        <v>0.01</v>
      </c>
      <c r="F22" s="46"/>
      <c r="G22" s="159">
        <f>'HR (DENY)'!M22</f>
        <v>1</v>
      </c>
      <c r="H22" s="159">
        <f>'USER1-DENY'!M22</f>
        <v>1</v>
      </c>
      <c r="I22" s="159">
        <f>'USER2-DENY'!M22</f>
        <v>1</v>
      </c>
      <c r="J22" s="159">
        <f>'MANAGER-DENY'!M22</f>
        <v>1</v>
      </c>
      <c r="K22" s="33">
        <f t="shared" ref="K22:K25" si="4">AVERAGE(G22:J22)</f>
        <v>1</v>
      </c>
      <c r="L22" s="101"/>
    </row>
    <row r="23" spans="1:12" s="158" customFormat="1" ht="30" customHeight="1" x14ac:dyDescent="0.4">
      <c r="A23" s="99" t="s">
        <v>105</v>
      </c>
      <c r="B23" s="156">
        <f>B22+1</f>
        <v>2</v>
      </c>
      <c r="C23" s="101" t="str">
        <f>VLOOKUP($A23,PERTANYAAN!$A$18:$E$71,3,0)</f>
        <v>SIM A (utk jabatan di Divisi Operasi)</v>
      </c>
      <c r="D23" s="101" t="str">
        <f>VLOOKUP($A23,PERTANYAAN!$A$18:$E$71,4,0)</f>
        <v>Apakah sudah memiliki SIM A?</v>
      </c>
      <c r="E23" s="46">
        <f>VLOOKUP($A23,PERTANYAAN!$A$18:$E$71,5,0)</f>
        <v>0.02</v>
      </c>
      <c r="F23" s="46"/>
      <c r="G23" s="159">
        <f>'HR (DENY)'!M23</f>
        <v>2</v>
      </c>
      <c r="H23" s="159">
        <f>'USER1-DENY'!M23</f>
        <v>2</v>
      </c>
      <c r="I23" s="159">
        <f>'USER2-DENY'!M23</f>
        <v>0</v>
      </c>
      <c r="J23" s="159">
        <f>'MANAGER-DENY'!M23</f>
        <v>0</v>
      </c>
      <c r="K23" s="33">
        <f t="shared" si="4"/>
        <v>1</v>
      </c>
      <c r="L23" s="101"/>
    </row>
    <row r="24" spans="1:12" s="158" customFormat="1" ht="30" customHeight="1" x14ac:dyDescent="0.4">
      <c r="A24" s="99" t="s">
        <v>106</v>
      </c>
      <c r="B24" s="156">
        <f t="shared" ref="B24:B25" si="5">B23+1</f>
        <v>3</v>
      </c>
      <c r="C24" s="101" t="str">
        <f>VLOOKUP($A24,PERTANYAAN!$A$18:$E$71,3,0)</f>
        <v>SIM C</v>
      </c>
      <c r="D24" s="101" t="str">
        <f>VLOOKUP($A24,PERTANYAAN!$A$18:$E$71,4,0)</f>
        <v>Apakah sudah memiliki SIM C?</v>
      </c>
      <c r="E24" s="46">
        <f>VLOOKUP($A24,PERTANYAAN!$A$18:$E$71,5,0)</f>
        <v>0.01</v>
      </c>
      <c r="F24" s="46"/>
      <c r="G24" s="159">
        <f>'HR (DENY)'!M24</f>
        <v>1</v>
      </c>
      <c r="H24" s="159">
        <f>'USER1-DENY'!M24</f>
        <v>1</v>
      </c>
      <c r="I24" s="159">
        <f>'USER2-DENY'!M24</f>
        <v>1</v>
      </c>
      <c r="J24" s="159">
        <f>'MANAGER-DENY'!M24</f>
        <v>1</v>
      </c>
      <c r="K24" s="33">
        <f t="shared" si="4"/>
        <v>1</v>
      </c>
      <c r="L24" s="101"/>
    </row>
    <row r="25" spans="1:12" s="158" customFormat="1" ht="30" customHeight="1" x14ac:dyDescent="0.4">
      <c r="A25" s="99" t="s">
        <v>107</v>
      </c>
      <c r="B25" s="156">
        <f t="shared" si="5"/>
        <v>4</v>
      </c>
      <c r="C25" s="101" t="str">
        <f>VLOOKUP($A25,PERTANYAAN!$A$18:$E$71,3,0)</f>
        <v>NPWP</v>
      </c>
      <c r="D25" s="101" t="str">
        <f>VLOOKUP($A25,PERTANYAAN!$A$18:$E$71,4,0)</f>
        <v>Apakah sudah Memiliki NPWP?</v>
      </c>
      <c r="E25" s="46">
        <f>VLOOKUP($A25,PERTANYAAN!$A$18:$E$71,5,0)</f>
        <v>0.01</v>
      </c>
      <c r="F25" s="46"/>
      <c r="G25" s="159">
        <f>'HR (DENY)'!M25</f>
        <v>1</v>
      </c>
      <c r="H25" s="159">
        <f>'USER1-DENY'!M25</f>
        <v>1</v>
      </c>
      <c r="I25" s="159">
        <f>'USER2-DENY'!M25</f>
        <v>1</v>
      </c>
      <c r="J25" s="159">
        <f>'MANAGER-DENY'!M25</f>
        <v>1</v>
      </c>
      <c r="K25" s="33">
        <f t="shared" si="4"/>
        <v>1</v>
      </c>
      <c r="L25" s="101"/>
    </row>
    <row r="26" spans="1:12" x14ac:dyDescent="0.4">
      <c r="A26" s="92"/>
      <c r="B26" s="104"/>
      <c r="C26" s="103"/>
      <c r="D26" s="30"/>
      <c r="E26" s="17"/>
      <c r="F26" s="17"/>
      <c r="G26" s="102"/>
      <c r="H26" s="102"/>
      <c r="I26" s="102"/>
      <c r="J26" s="102"/>
      <c r="K26" s="16"/>
      <c r="L26" s="103"/>
    </row>
    <row r="27" spans="1:12" x14ac:dyDescent="0.4">
      <c r="A27" s="92"/>
      <c r="B27" s="48" t="s">
        <v>97</v>
      </c>
      <c r="C27" s="49" t="s">
        <v>21</v>
      </c>
      <c r="D27" s="56"/>
      <c r="E27" s="51">
        <f>E28</f>
        <v>0.35000000000000003</v>
      </c>
      <c r="F27" s="57"/>
      <c r="G27" s="54">
        <f t="shared" ref="G27:J27" si="6">G28</f>
        <v>27</v>
      </c>
      <c r="H27" s="54">
        <f t="shared" si="6"/>
        <v>25</v>
      </c>
      <c r="I27" s="54">
        <f t="shared" si="6"/>
        <v>28</v>
      </c>
      <c r="J27" s="54">
        <f t="shared" si="6"/>
        <v>22.5</v>
      </c>
      <c r="K27" s="54">
        <f>K28</f>
        <v>25.625</v>
      </c>
      <c r="L27" s="98"/>
    </row>
    <row r="28" spans="1:12" x14ac:dyDescent="0.4">
      <c r="A28" s="99" t="s">
        <v>108</v>
      </c>
      <c r="B28" s="100">
        <v>1</v>
      </c>
      <c r="C28" s="101" t="str">
        <f>VLOOKUP($A28,PERTANYAAN!$A$18:$E$71,3,0)</f>
        <v>Operasi / Logistik</v>
      </c>
      <c r="D28" s="30"/>
      <c r="E28" s="46">
        <f>VLOOKUP($A28,PERTANYAAN!$A$18:$E$71,5,0)</f>
        <v>0.35000000000000003</v>
      </c>
      <c r="F28" s="17"/>
      <c r="G28" s="16">
        <f t="shared" ref="G28:J28" si="7">SUM(G29:G33)</f>
        <v>27</v>
      </c>
      <c r="H28" s="16">
        <f t="shared" si="7"/>
        <v>25</v>
      </c>
      <c r="I28" s="16">
        <f t="shared" si="7"/>
        <v>28</v>
      </c>
      <c r="J28" s="16">
        <f t="shared" si="7"/>
        <v>22.5</v>
      </c>
      <c r="K28" s="16">
        <f>SUM(K29:K33)</f>
        <v>25.625</v>
      </c>
      <c r="L28" s="103"/>
    </row>
    <row r="29" spans="1:12" s="158" customFormat="1" ht="30" customHeight="1" x14ac:dyDescent="0.4">
      <c r="A29" s="99" t="s">
        <v>109</v>
      </c>
      <c r="B29" s="156" t="s">
        <v>6</v>
      </c>
      <c r="C29" s="101" t="str">
        <f>VLOOKUP($A29,PERTANYAAN!$A$18:$E$71,3,0)</f>
        <v>Skill Mengemudi</v>
      </c>
      <c r="D29" s="101" t="str">
        <f>VLOOKUP($A29,PERTANYAAN!$A$18:$E$71,4,0)</f>
        <v>Coba ceritakan pengalaman / keahlian dalam mengemudi mobil angkut/logistik?</v>
      </c>
      <c r="E29" s="46">
        <f>VLOOKUP($A29,PERTANYAAN!$A$18:$E$71,5,0)</f>
        <v>0.15</v>
      </c>
      <c r="F29" s="46"/>
      <c r="G29" s="159">
        <f>'HR (DENY)'!M29</f>
        <v>9</v>
      </c>
      <c r="H29" s="159">
        <f>'USER1-DENY'!M29</f>
        <v>9</v>
      </c>
      <c r="I29" s="159">
        <f>'USER2-DENY'!M29</f>
        <v>12</v>
      </c>
      <c r="J29" s="159">
        <f>'MANAGER-DENY'!M29</f>
        <v>6</v>
      </c>
      <c r="K29" s="33">
        <f t="shared" ref="K29:K32" si="8">AVERAGE(G29:J29)</f>
        <v>9</v>
      </c>
      <c r="L29" s="101"/>
    </row>
    <row r="30" spans="1:12" s="158" customFormat="1" ht="30" customHeight="1" x14ac:dyDescent="0.4">
      <c r="A30" s="99" t="s">
        <v>110</v>
      </c>
      <c r="B30" s="156" t="s">
        <v>6</v>
      </c>
      <c r="C30" s="101" t="str">
        <f>VLOOKUP($A30,PERTANYAAN!$A$18:$E$71,3,0)</f>
        <v>Flow Administrasi Logistik</v>
      </c>
      <c r="D30" s="101" t="str">
        <f>VLOOKUP($A30,PERTANYAAN!$A$18:$E$71,4,0)</f>
        <v>Coba ceritakan yang anda ketahui tentang alur administrasi logistik? Dan kaitannya dengan Ms. Office</v>
      </c>
      <c r="E30" s="46">
        <f>VLOOKUP($A30,PERTANYAAN!$A$18:$E$71,5,0)</f>
        <v>0.1</v>
      </c>
      <c r="F30" s="46"/>
      <c r="G30" s="159">
        <f>'HR (DENY)'!M30</f>
        <v>8.0000000000000018</v>
      </c>
      <c r="H30" s="159">
        <f>'USER1-DENY'!M30</f>
        <v>8.0000000000000018</v>
      </c>
      <c r="I30" s="159">
        <f>'USER2-DENY'!M30</f>
        <v>8.0000000000000018</v>
      </c>
      <c r="J30" s="159">
        <f>'MANAGER-DENY'!M30</f>
        <v>8.0000000000000018</v>
      </c>
      <c r="K30" s="33">
        <f t="shared" si="8"/>
        <v>8.0000000000000018</v>
      </c>
      <c r="L30" s="101"/>
    </row>
    <row r="31" spans="1:12" s="158" customFormat="1" ht="30" customHeight="1" x14ac:dyDescent="0.4">
      <c r="A31" s="99" t="s">
        <v>111</v>
      </c>
      <c r="B31" s="156" t="s">
        <v>6</v>
      </c>
      <c r="C31" s="101" t="str">
        <f>VLOOKUP($A31,PERTANYAAN!$A$18:$E$71,3,0)</f>
        <v>Pengetahuan terkait logistik</v>
      </c>
      <c r="D31" s="101" t="str">
        <f>VLOOKUP($A31,PERTANYAAN!$A$18:$E$71,4,0)</f>
        <v>Ceritakan yang anda ketahui terkait dengan logistik?</v>
      </c>
      <c r="E31" s="46">
        <f>VLOOKUP($A31,PERTANYAAN!$A$18:$E$71,5,0)</f>
        <v>2.5000000000000001E-2</v>
      </c>
      <c r="F31" s="46"/>
      <c r="G31" s="159">
        <f>'HR (DENY)'!M31</f>
        <v>2.5</v>
      </c>
      <c r="H31" s="159">
        <f>'USER1-DENY'!M31</f>
        <v>2.0000000000000004</v>
      </c>
      <c r="I31" s="159">
        <f>'USER2-DENY'!M31</f>
        <v>2.0000000000000004</v>
      </c>
      <c r="J31" s="159">
        <f>'MANAGER-DENY'!M31</f>
        <v>2.5</v>
      </c>
      <c r="K31" s="33">
        <f t="shared" si="8"/>
        <v>2.25</v>
      </c>
      <c r="L31" s="101"/>
    </row>
    <row r="32" spans="1:12" s="158" customFormat="1" ht="30" customHeight="1" x14ac:dyDescent="0.4">
      <c r="A32" s="99" t="s">
        <v>112</v>
      </c>
      <c r="B32" s="156" t="s">
        <v>6</v>
      </c>
      <c r="C32" s="101" t="str">
        <f>VLOOKUP($A32,PERTANYAAN!$A$18:$E$71,3,0)</f>
        <v>Pengalaman di Bongkar Muat</v>
      </c>
      <c r="D32" s="101" t="str">
        <f>VLOOKUP($A32,PERTANYAAN!$A$18:$E$71,4,0)</f>
        <v>Apakah memiliki pengalaman terkait bongkar muat?sedalam apa?</v>
      </c>
      <c r="E32" s="46">
        <f>VLOOKUP($A32,PERTANYAAN!$A$18:$E$71,5,0)</f>
        <v>7.4999999999999997E-2</v>
      </c>
      <c r="F32" s="46"/>
      <c r="G32" s="159">
        <f>'HR (DENY)'!M32</f>
        <v>7.5</v>
      </c>
      <c r="H32" s="159">
        <f>'USER1-DENY'!M32</f>
        <v>6</v>
      </c>
      <c r="I32" s="159">
        <f>'USER2-DENY'!M32</f>
        <v>6</v>
      </c>
      <c r="J32" s="159">
        <f>'MANAGER-DENY'!M32</f>
        <v>6</v>
      </c>
      <c r="K32" s="33">
        <f t="shared" si="8"/>
        <v>6.375</v>
      </c>
      <c r="L32" s="101"/>
    </row>
    <row r="33" spans="1:12" x14ac:dyDescent="0.4">
      <c r="A33" s="92"/>
      <c r="B33" s="100"/>
      <c r="C33" s="103"/>
      <c r="D33" s="30"/>
      <c r="E33" s="17"/>
      <c r="F33" s="17"/>
      <c r="G33" s="102"/>
      <c r="H33" s="102"/>
      <c r="I33" s="102"/>
      <c r="J33" s="102"/>
      <c r="K33" s="16"/>
      <c r="L33" s="103"/>
    </row>
    <row r="34" spans="1:12" hidden="1" outlineLevel="1" x14ac:dyDescent="0.4">
      <c r="A34" s="92"/>
      <c r="B34" s="100">
        <f>B28+1</f>
        <v>2</v>
      </c>
      <c r="C34" s="103" t="s">
        <v>22</v>
      </c>
      <c r="D34" s="30"/>
      <c r="E34" s="17">
        <f>SUM(E35:E37)</f>
        <v>0.35</v>
      </c>
      <c r="F34" s="17"/>
      <c r="G34" s="102"/>
      <c r="H34" s="102"/>
      <c r="I34" s="102"/>
      <c r="J34" s="102"/>
      <c r="K34" s="16"/>
      <c r="L34" s="103"/>
    </row>
    <row r="35" spans="1:12" hidden="1" outlineLevel="1" x14ac:dyDescent="0.4">
      <c r="A35" s="92"/>
      <c r="B35" s="100" t="s">
        <v>6</v>
      </c>
      <c r="C35" s="103" t="s">
        <v>44</v>
      </c>
      <c r="D35" s="30"/>
      <c r="E35" s="17">
        <v>0.15</v>
      </c>
      <c r="F35" s="17"/>
      <c r="G35" s="102"/>
      <c r="H35" s="102"/>
      <c r="I35" s="102"/>
      <c r="J35" s="102"/>
      <c r="K35" s="16"/>
      <c r="L35" s="103"/>
    </row>
    <row r="36" spans="1:12" hidden="1" outlineLevel="1" x14ac:dyDescent="0.4">
      <c r="A36" s="92"/>
      <c r="B36" s="100" t="s">
        <v>6</v>
      </c>
      <c r="C36" s="103" t="s">
        <v>50</v>
      </c>
      <c r="D36" s="30"/>
      <c r="E36" s="17">
        <v>0.2</v>
      </c>
      <c r="F36" s="17"/>
      <c r="G36" s="102"/>
      <c r="H36" s="102"/>
      <c r="I36" s="102"/>
      <c r="J36" s="102"/>
      <c r="K36" s="16"/>
      <c r="L36" s="103"/>
    </row>
    <row r="37" spans="1:12" hidden="1" outlineLevel="1" x14ac:dyDescent="0.4">
      <c r="A37" s="92"/>
      <c r="B37" s="100"/>
      <c r="C37" s="103"/>
      <c r="D37" s="30"/>
      <c r="E37" s="17"/>
      <c r="F37" s="17"/>
      <c r="G37" s="102"/>
      <c r="H37" s="102"/>
      <c r="I37" s="102"/>
      <c r="J37" s="102"/>
      <c r="K37" s="16"/>
      <c r="L37" s="103"/>
    </row>
    <row r="38" spans="1:12" hidden="1" outlineLevel="1" x14ac:dyDescent="0.4">
      <c r="A38" s="92"/>
      <c r="B38" s="104">
        <v>3</v>
      </c>
      <c r="C38" s="103" t="s">
        <v>23</v>
      </c>
      <c r="D38" s="30"/>
      <c r="E38" s="17"/>
      <c r="F38" s="17"/>
      <c r="G38" s="102"/>
      <c r="H38" s="102"/>
      <c r="I38" s="102"/>
      <c r="J38" s="102"/>
      <c r="K38" s="16"/>
      <c r="L38" s="103"/>
    </row>
    <row r="39" spans="1:12" hidden="1" outlineLevel="1" x14ac:dyDescent="0.4">
      <c r="A39" s="92"/>
      <c r="B39" s="100" t="s">
        <v>6</v>
      </c>
      <c r="C39" s="103" t="s">
        <v>52</v>
      </c>
      <c r="D39" s="30"/>
      <c r="E39" s="17"/>
      <c r="F39" s="17"/>
      <c r="G39" s="102"/>
      <c r="H39" s="102"/>
      <c r="I39" s="102"/>
      <c r="J39" s="102"/>
      <c r="K39" s="16"/>
      <c r="L39" s="103"/>
    </row>
    <row r="40" spans="1:12" hidden="1" outlineLevel="1" x14ac:dyDescent="0.4">
      <c r="A40" s="92"/>
      <c r="B40" s="100" t="s">
        <v>6</v>
      </c>
      <c r="C40" s="103" t="s">
        <v>53</v>
      </c>
      <c r="D40" s="30"/>
      <c r="E40" s="17"/>
      <c r="F40" s="17"/>
      <c r="G40" s="102"/>
      <c r="H40" s="102"/>
      <c r="I40" s="102"/>
      <c r="J40" s="102"/>
      <c r="K40" s="16"/>
      <c r="L40" s="103"/>
    </row>
    <row r="41" spans="1:12" hidden="1" outlineLevel="1" x14ac:dyDescent="0.4">
      <c r="A41" s="92"/>
      <c r="B41" s="100" t="s">
        <v>6</v>
      </c>
      <c r="C41" s="103"/>
      <c r="D41" s="30"/>
      <c r="E41" s="17"/>
      <c r="F41" s="17"/>
      <c r="G41" s="102"/>
      <c r="H41" s="102"/>
      <c r="I41" s="102"/>
      <c r="J41" s="102"/>
      <c r="K41" s="16"/>
      <c r="L41" s="103"/>
    </row>
    <row r="42" spans="1:12" hidden="1" outlineLevel="1" x14ac:dyDescent="0.4">
      <c r="A42" s="92"/>
      <c r="B42" s="104"/>
      <c r="C42" s="103"/>
      <c r="D42" s="30"/>
      <c r="E42" s="17"/>
      <c r="F42" s="17"/>
      <c r="G42" s="102"/>
      <c r="H42" s="102"/>
      <c r="I42" s="102"/>
      <c r="J42" s="102"/>
      <c r="K42" s="16"/>
      <c r="L42" s="103"/>
    </row>
    <row r="43" spans="1:12" s="2" customFormat="1" collapsed="1" x14ac:dyDescent="0.4">
      <c r="A43" s="3"/>
      <c r="B43" s="48" t="s">
        <v>98</v>
      </c>
      <c r="C43" s="49" t="s">
        <v>24</v>
      </c>
      <c r="D43" s="50"/>
      <c r="E43" s="51">
        <f>E44</f>
        <v>0.25</v>
      </c>
      <c r="F43" s="51"/>
      <c r="G43" s="54">
        <f t="shared" ref="G43:J43" si="9">G44</f>
        <v>25</v>
      </c>
      <c r="H43" s="54">
        <f t="shared" si="9"/>
        <v>25</v>
      </c>
      <c r="I43" s="54">
        <f t="shared" si="9"/>
        <v>23.5</v>
      </c>
      <c r="J43" s="54">
        <f t="shared" si="9"/>
        <v>24</v>
      </c>
      <c r="K43" s="54">
        <f>K44</f>
        <v>24.375</v>
      </c>
      <c r="L43" s="49"/>
    </row>
    <row r="44" spans="1:12" x14ac:dyDescent="0.4">
      <c r="A44" s="92" t="s">
        <v>113</v>
      </c>
      <c r="B44" s="104">
        <v>1</v>
      </c>
      <c r="C44" s="101" t="str">
        <f>VLOOKUP($A44,PERTANYAAN!$A$18:$E$71,3,0)</f>
        <v>Staff</v>
      </c>
      <c r="D44" s="30"/>
      <c r="E44" s="17">
        <f>SUM(E45:E49)</f>
        <v>0.25</v>
      </c>
      <c r="F44" s="17"/>
      <c r="G44" s="16">
        <f t="shared" ref="G44:J44" si="10">SUM(G45:G48)</f>
        <v>25</v>
      </c>
      <c r="H44" s="16">
        <f t="shared" si="10"/>
        <v>25</v>
      </c>
      <c r="I44" s="16">
        <f t="shared" si="10"/>
        <v>23.5</v>
      </c>
      <c r="J44" s="16">
        <f t="shared" si="10"/>
        <v>24</v>
      </c>
      <c r="K44" s="16">
        <f>SUM(K45:K48)</f>
        <v>24.375</v>
      </c>
      <c r="L44" s="103"/>
    </row>
    <row r="45" spans="1:12" s="158" customFormat="1" ht="30" customHeight="1" x14ac:dyDescent="0.4">
      <c r="A45" s="99" t="s">
        <v>114</v>
      </c>
      <c r="B45" s="156" t="s">
        <v>6</v>
      </c>
      <c r="C45" s="101" t="str">
        <f>VLOOKUP($A45,PERTANYAAN!$A$18:$E$71,3,0)</f>
        <v>Kepemimpinan</v>
      </c>
      <c r="D45" s="101" t="str">
        <f>VLOOKUP($A45,PERTANYAAN!$A$18:$E$71,4,0)</f>
        <v>Jika terjadi suatu diskusi dalam group/kelompok yang belum menemukan titik temu, apa yang akan anda lakukan?</v>
      </c>
      <c r="E45" s="46">
        <f>VLOOKUP($A45,PERTANYAAN!$A$18:$E$71,5,0)</f>
        <v>2.5000000000000001E-2</v>
      </c>
      <c r="F45" s="46"/>
      <c r="G45" s="159">
        <f>'HR (DENY)'!M45</f>
        <v>2.5</v>
      </c>
      <c r="H45" s="159">
        <f>'USER1-DENY'!M45</f>
        <v>2.5</v>
      </c>
      <c r="I45" s="159">
        <f>'USER2-DENY'!M45</f>
        <v>2.5</v>
      </c>
      <c r="J45" s="159">
        <f>'MANAGER-DENY'!M45</f>
        <v>2.5</v>
      </c>
      <c r="K45" s="33">
        <f t="shared" ref="K45:K48" si="11">AVERAGE(G45:J45)</f>
        <v>2.5</v>
      </c>
      <c r="L45" s="101"/>
    </row>
    <row r="46" spans="1:12" s="158" customFormat="1" ht="30" customHeight="1" x14ac:dyDescent="0.4">
      <c r="A46" s="99" t="s">
        <v>115</v>
      </c>
      <c r="B46" s="156" t="s">
        <v>6</v>
      </c>
      <c r="C46" s="101" t="str">
        <f>VLOOKUP($A46,PERTANYAAN!$A$18:$E$71,3,0)</f>
        <v>Komunikasi</v>
      </c>
      <c r="D46" s="101" t="str">
        <f>VLOOKUP($A46,PERTANYAAN!$A$18:$E$71,4,0)</f>
        <v>Bagaimana hubungan kerjasama antar sesama pegawai / organisasi / kelompok?(jika memiliki pengalaman kerja)</v>
      </c>
      <c r="E46" s="46">
        <f>VLOOKUP($A46,PERTANYAAN!$A$18:$E$71,5,0)</f>
        <v>0.1</v>
      </c>
      <c r="F46" s="46"/>
      <c r="G46" s="159">
        <f>'HR (DENY)'!M46</f>
        <v>10</v>
      </c>
      <c r="H46" s="159">
        <f>'USER1-DENY'!M46</f>
        <v>10</v>
      </c>
      <c r="I46" s="159">
        <f>'USER2-DENY'!M46</f>
        <v>10</v>
      </c>
      <c r="J46" s="159">
        <f>'MANAGER-DENY'!M46</f>
        <v>10</v>
      </c>
      <c r="K46" s="33">
        <f t="shared" si="11"/>
        <v>10</v>
      </c>
      <c r="L46" s="101"/>
    </row>
    <row r="47" spans="1:12" s="158" customFormat="1" ht="30" customHeight="1" x14ac:dyDescent="0.4">
      <c r="A47" s="99" t="s">
        <v>116</v>
      </c>
      <c r="B47" s="156" t="s">
        <v>6</v>
      </c>
      <c r="C47" s="101" t="str">
        <f>VLOOKUP($A47,PERTANYAAN!$A$18:$E$71,3,0)</f>
        <v>Patuh pada Peraturan / Commitment</v>
      </c>
      <c r="D47" s="101" t="str">
        <f>VLOOKUP($A47,PERTANYAAN!$A$18:$E$71,4,0)</f>
        <v>Bagaimana pandangan anda terkait perusahaan dan aturan yang dapat berubah ubah sesuai arah perusahaan?</v>
      </c>
      <c r="E47" s="46">
        <f>VLOOKUP($A47,PERTANYAAN!$A$18:$E$71,5,0)</f>
        <v>0.05</v>
      </c>
      <c r="F47" s="46"/>
      <c r="G47" s="159">
        <f>'HR (DENY)'!M47</f>
        <v>5</v>
      </c>
      <c r="H47" s="159">
        <f>'USER1-DENY'!M47</f>
        <v>5</v>
      </c>
      <c r="I47" s="159">
        <f>'USER2-DENY'!M47</f>
        <v>5</v>
      </c>
      <c r="J47" s="159">
        <f>'MANAGER-DENY'!M47</f>
        <v>4.0000000000000009</v>
      </c>
      <c r="K47" s="33">
        <f t="shared" si="11"/>
        <v>4.75</v>
      </c>
      <c r="L47" s="101"/>
    </row>
    <row r="48" spans="1:12" s="158" customFormat="1" ht="30" customHeight="1" x14ac:dyDescent="0.4">
      <c r="A48" s="99" t="s">
        <v>117</v>
      </c>
      <c r="B48" s="156" t="s">
        <v>6</v>
      </c>
      <c r="C48" s="101" t="str">
        <f>VLOOKUP($A48,PERTANYAAN!$A$18:$E$71,3,0)</f>
        <v>Determinasi thd tekanan</v>
      </c>
      <c r="D48" s="101" t="str">
        <f>VLOOKUP($A48,PERTANYAAN!$A$18:$E$71,4,0)</f>
        <v>Bagaimana pandangan anda jika anda dituntut pada pekerjaan diluar dari waktu normal dalam bekerja?</v>
      </c>
      <c r="E48" s="46">
        <f>VLOOKUP($A48,PERTANYAAN!$A$18:$E$71,5,0)</f>
        <v>7.4999999999999997E-2</v>
      </c>
      <c r="F48" s="46"/>
      <c r="G48" s="159">
        <f>'HR (DENY)'!M48</f>
        <v>7.5</v>
      </c>
      <c r="H48" s="159">
        <f>'USER1-DENY'!M48</f>
        <v>7.5</v>
      </c>
      <c r="I48" s="159">
        <f>'USER2-DENY'!M48</f>
        <v>6</v>
      </c>
      <c r="J48" s="159">
        <f>'MANAGER-DENY'!M48</f>
        <v>7.5</v>
      </c>
      <c r="K48" s="33">
        <f t="shared" si="11"/>
        <v>7.125</v>
      </c>
      <c r="L48" s="101"/>
    </row>
    <row r="49" spans="1:12" x14ac:dyDescent="0.4">
      <c r="A49" s="92"/>
      <c r="B49" s="100"/>
      <c r="C49" s="103"/>
      <c r="D49" s="30"/>
      <c r="E49" s="17"/>
      <c r="F49" s="17"/>
      <c r="G49" s="102"/>
      <c r="H49" s="102"/>
      <c r="I49" s="102"/>
      <c r="J49" s="102"/>
      <c r="K49" s="16"/>
      <c r="L49" s="103"/>
    </row>
    <row r="50" spans="1:12" hidden="1" outlineLevel="1" x14ac:dyDescent="0.4">
      <c r="A50" s="92"/>
      <c r="B50" s="104">
        <v>2</v>
      </c>
      <c r="C50" s="103" t="s">
        <v>26</v>
      </c>
      <c r="D50" s="30"/>
      <c r="E50" s="17"/>
      <c r="F50" s="17"/>
      <c r="G50" s="102"/>
      <c r="H50" s="102"/>
      <c r="I50" s="102"/>
      <c r="J50" s="102"/>
      <c r="K50" s="16"/>
      <c r="L50" s="103"/>
    </row>
    <row r="51" spans="1:12" hidden="1" outlineLevel="1" x14ac:dyDescent="0.4">
      <c r="A51" s="92"/>
      <c r="B51" s="100" t="s">
        <v>6</v>
      </c>
      <c r="C51" s="103" t="s">
        <v>54</v>
      </c>
      <c r="D51" s="30"/>
      <c r="E51" s="17"/>
      <c r="F51" s="17"/>
      <c r="G51" s="102"/>
      <c r="H51" s="102"/>
      <c r="I51" s="102"/>
      <c r="J51" s="102"/>
      <c r="K51" s="16"/>
      <c r="L51" s="103"/>
    </row>
    <row r="52" spans="1:12" hidden="1" outlineLevel="1" x14ac:dyDescent="0.4">
      <c r="A52" s="92"/>
      <c r="B52" s="100" t="s">
        <v>6</v>
      </c>
      <c r="C52" s="103" t="s">
        <v>55</v>
      </c>
      <c r="D52" s="30"/>
      <c r="E52" s="17"/>
      <c r="F52" s="17"/>
      <c r="G52" s="102"/>
      <c r="H52" s="102"/>
      <c r="I52" s="102"/>
      <c r="J52" s="102"/>
      <c r="K52" s="16"/>
      <c r="L52" s="103"/>
    </row>
    <row r="53" spans="1:12" hidden="1" outlineLevel="1" x14ac:dyDescent="0.4">
      <c r="A53" s="92"/>
      <c r="B53" s="100" t="s">
        <v>6</v>
      </c>
      <c r="C53" s="103" t="s">
        <v>56</v>
      </c>
      <c r="D53" s="30"/>
      <c r="E53" s="17"/>
      <c r="F53" s="17"/>
      <c r="G53" s="102"/>
      <c r="H53" s="102"/>
      <c r="I53" s="102"/>
      <c r="J53" s="102"/>
      <c r="K53" s="16"/>
      <c r="L53" s="103"/>
    </row>
    <row r="54" spans="1:12" hidden="1" outlineLevel="1" x14ac:dyDescent="0.4">
      <c r="A54" s="92"/>
      <c r="B54" s="100"/>
      <c r="C54" s="103"/>
      <c r="D54" s="30"/>
      <c r="E54" s="17"/>
      <c r="F54" s="17"/>
      <c r="G54" s="102"/>
      <c r="H54" s="102"/>
      <c r="I54" s="102"/>
      <c r="J54" s="102"/>
      <c r="K54" s="16"/>
      <c r="L54" s="103"/>
    </row>
    <row r="55" spans="1:12" hidden="1" outlineLevel="1" x14ac:dyDescent="0.4">
      <c r="A55" s="92"/>
      <c r="B55" s="104">
        <v>3</v>
      </c>
      <c r="C55" s="103" t="s">
        <v>27</v>
      </c>
      <c r="D55" s="30"/>
      <c r="E55" s="17"/>
      <c r="F55" s="17"/>
      <c r="G55" s="102"/>
      <c r="H55" s="102"/>
      <c r="I55" s="102"/>
      <c r="J55" s="102"/>
      <c r="K55" s="16"/>
      <c r="L55" s="103"/>
    </row>
    <row r="56" spans="1:12" hidden="1" outlineLevel="1" x14ac:dyDescent="0.4">
      <c r="A56" s="92"/>
      <c r="B56" s="100" t="s">
        <v>6</v>
      </c>
      <c r="C56" s="103" t="s">
        <v>54</v>
      </c>
      <c r="D56" s="30"/>
      <c r="E56" s="17"/>
      <c r="F56" s="17"/>
      <c r="G56" s="102"/>
      <c r="H56" s="102"/>
      <c r="I56" s="102"/>
      <c r="J56" s="102"/>
      <c r="K56" s="16"/>
      <c r="L56" s="103"/>
    </row>
    <row r="57" spans="1:12" hidden="1" outlineLevel="1" x14ac:dyDescent="0.4">
      <c r="A57" s="92"/>
      <c r="B57" s="100" t="s">
        <v>6</v>
      </c>
      <c r="C57" s="103" t="s">
        <v>56</v>
      </c>
      <c r="D57" s="30"/>
      <c r="E57" s="17"/>
      <c r="F57" s="17"/>
      <c r="G57" s="102"/>
      <c r="H57" s="102"/>
      <c r="I57" s="102"/>
      <c r="J57" s="102"/>
      <c r="K57" s="16"/>
      <c r="L57" s="103"/>
    </row>
    <row r="58" spans="1:12" hidden="1" outlineLevel="1" x14ac:dyDescent="0.4">
      <c r="A58" s="92"/>
      <c r="B58" s="100" t="s">
        <v>6</v>
      </c>
      <c r="C58" s="103" t="s">
        <v>57</v>
      </c>
      <c r="D58" s="30"/>
      <c r="E58" s="17"/>
      <c r="F58" s="17"/>
      <c r="G58" s="102"/>
      <c r="H58" s="102"/>
      <c r="I58" s="102"/>
      <c r="J58" s="102"/>
      <c r="K58" s="16"/>
      <c r="L58" s="103"/>
    </row>
    <row r="59" spans="1:12" hidden="1" outlineLevel="1" x14ac:dyDescent="0.4">
      <c r="A59" s="92"/>
      <c r="B59" s="104"/>
      <c r="C59" s="103"/>
      <c r="D59" s="30"/>
      <c r="E59" s="17"/>
      <c r="F59" s="17"/>
      <c r="G59" s="102"/>
      <c r="H59" s="102"/>
      <c r="I59" s="102"/>
      <c r="J59" s="102"/>
      <c r="K59" s="16"/>
      <c r="L59" s="103"/>
    </row>
    <row r="60" spans="1:12" s="2" customFormat="1" collapsed="1" x14ac:dyDescent="0.4">
      <c r="A60" s="3"/>
      <c r="B60" s="48" t="s">
        <v>99</v>
      </c>
      <c r="C60" s="49" t="s">
        <v>46</v>
      </c>
      <c r="D60" s="50"/>
      <c r="E60" s="51">
        <f>SUM(E61:E64)</f>
        <v>0.15</v>
      </c>
      <c r="F60" s="51"/>
      <c r="G60" s="54">
        <f t="shared" ref="G60:J60" si="12">SUM(G61:G64)</f>
        <v>15</v>
      </c>
      <c r="H60" s="54">
        <f t="shared" si="12"/>
        <v>15</v>
      </c>
      <c r="I60" s="54">
        <f t="shared" si="12"/>
        <v>13.5</v>
      </c>
      <c r="J60" s="54">
        <f t="shared" si="12"/>
        <v>13.5</v>
      </c>
      <c r="K60" s="54">
        <f>SUM(K61:K64)</f>
        <v>14.25</v>
      </c>
      <c r="L60" s="49"/>
    </row>
    <row r="61" spans="1:12" s="158" customFormat="1" ht="30" customHeight="1" x14ac:dyDescent="0.4">
      <c r="A61" s="99" t="s">
        <v>118</v>
      </c>
      <c r="B61" s="156" t="s">
        <v>6</v>
      </c>
      <c r="C61" s="101" t="str">
        <f>VLOOKUP($A61,PERTANYAAN!$A$18:$E$71,3,0)</f>
        <v>Antusiasme / Keinginan bergabung</v>
      </c>
      <c r="D61" s="101" t="str">
        <f>VLOOKUP($A61,PERTANYAAN!$A$18:$E$71,4,0)</f>
        <v>Apa yang anda pikirkan setelah mendengar / mengetahui Daniswara membutuhkan personil baru di posisi ini?</v>
      </c>
      <c r="E61" s="46">
        <f>VLOOKUP($A61,PERTANYAAN!$A$18:$E$71,5,0)</f>
        <v>7.4999999999999997E-2</v>
      </c>
      <c r="F61" s="46"/>
      <c r="G61" s="159">
        <f>'HR (DENY)'!M61</f>
        <v>7.5</v>
      </c>
      <c r="H61" s="159">
        <f>'USER1-DENY'!M61</f>
        <v>7.5</v>
      </c>
      <c r="I61" s="159">
        <f>'USER2-DENY'!M61</f>
        <v>6</v>
      </c>
      <c r="J61" s="159">
        <f>'MANAGER-DENY'!M61</f>
        <v>6</v>
      </c>
      <c r="K61" s="33">
        <f t="shared" ref="K61:K63" si="13">AVERAGE(G61:J61)</f>
        <v>6.75</v>
      </c>
      <c r="L61" s="101"/>
    </row>
    <row r="62" spans="1:12" s="158" customFormat="1" ht="30" customHeight="1" x14ac:dyDescent="0.4">
      <c r="A62" s="99" t="s">
        <v>119</v>
      </c>
      <c r="B62" s="156" t="s">
        <v>6</v>
      </c>
      <c r="C62" s="101" t="str">
        <f>VLOOKUP($A62,PERTANYAAN!$A$18:$E$71,3,0)</f>
        <v>Inisiatif</v>
      </c>
      <c r="D62" s="101" t="str">
        <f>VLOOKUP($A62,PERTANYAAN!$A$18:$E$71,4,0)</f>
        <v>Jika ada hal-hal yang kiranya belum diatur oleh perusahaan atau belum dapat arahan oleh atasan, apa yang biasanya anda lakukan?</v>
      </c>
      <c r="E62" s="46">
        <f>VLOOKUP($A62,PERTANYAAN!$A$18:$E$71,5,0)</f>
        <v>0.05</v>
      </c>
      <c r="F62" s="46"/>
      <c r="G62" s="159">
        <f>'HR (DENY)'!M62</f>
        <v>5</v>
      </c>
      <c r="H62" s="159">
        <f>'USER1-DENY'!M62</f>
        <v>5</v>
      </c>
      <c r="I62" s="159">
        <f>'USER2-DENY'!M62</f>
        <v>5</v>
      </c>
      <c r="J62" s="159">
        <f>'MANAGER-DENY'!M62</f>
        <v>5</v>
      </c>
      <c r="K62" s="33">
        <f t="shared" si="13"/>
        <v>5</v>
      </c>
      <c r="L62" s="101"/>
    </row>
    <row r="63" spans="1:12" s="158" customFormat="1" ht="29.15" x14ac:dyDescent="0.4">
      <c r="A63" s="99" t="s">
        <v>120</v>
      </c>
      <c r="B63" s="156" t="s">
        <v>6</v>
      </c>
      <c r="C63" s="101" t="str">
        <f>VLOOKUP($A63,PERTANYAAN!$A$18:$E$71,3,0)</f>
        <v>Adaptif</v>
      </c>
      <c r="D63" s="101" t="str">
        <f>VLOOKUP($A63,PERTANYAAN!$A$18:$E$71,4,0)</f>
        <v>Coba ceritakan pengalaman anda terkait dengan berada dalam lingkungan yang baru / hal yang baru?</v>
      </c>
      <c r="E63" s="46">
        <f>VLOOKUP($A63,PERTANYAAN!$A$18:$E$71,5,0)</f>
        <v>2.5000000000000001E-2</v>
      </c>
      <c r="F63" s="46"/>
      <c r="G63" s="159">
        <f>'HR (DENY)'!M63</f>
        <v>2.5</v>
      </c>
      <c r="H63" s="159">
        <f>'USER1-DENY'!M63</f>
        <v>2.5</v>
      </c>
      <c r="I63" s="159">
        <f>'USER2-DENY'!M63</f>
        <v>2.5</v>
      </c>
      <c r="J63" s="159">
        <f>'MANAGER-DENY'!M63</f>
        <v>2.5</v>
      </c>
      <c r="K63" s="33">
        <f t="shared" si="13"/>
        <v>2.5</v>
      </c>
      <c r="L63" s="101"/>
    </row>
    <row r="64" spans="1:12" x14ac:dyDescent="0.4">
      <c r="A64" s="92"/>
      <c r="B64" s="104"/>
      <c r="C64" s="103"/>
      <c r="D64" s="30"/>
      <c r="E64" s="17"/>
      <c r="F64" s="17"/>
      <c r="G64" s="102"/>
      <c r="H64" s="102"/>
      <c r="I64" s="102"/>
      <c r="J64" s="102"/>
      <c r="K64" s="16"/>
      <c r="L64" s="103"/>
    </row>
    <row r="65" spans="1:12" s="2" customFormat="1" x14ac:dyDescent="0.4">
      <c r="A65" s="3"/>
      <c r="B65" s="48" t="s">
        <v>100</v>
      </c>
      <c r="C65" s="49" t="s">
        <v>48</v>
      </c>
      <c r="D65" s="50"/>
      <c r="E65" s="51">
        <f>SUM(E66:E68)</f>
        <v>0.05</v>
      </c>
      <c r="F65" s="51"/>
      <c r="G65" s="54">
        <f t="shared" ref="G65:J65" si="14">SUM(G66:G68)</f>
        <v>5</v>
      </c>
      <c r="H65" s="54">
        <f t="shared" si="14"/>
        <v>5</v>
      </c>
      <c r="I65" s="54">
        <f t="shared" si="14"/>
        <v>4</v>
      </c>
      <c r="J65" s="54">
        <f t="shared" si="14"/>
        <v>4</v>
      </c>
      <c r="K65" s="54">
        <f>SUM(K66:K68)</f>
        <v>4.5</v>
      </c>
      <c r="L65" s="49"/>
    </row>
    <row r="66" spans="1:12" s="158" customFormat="1" ht="30" customHeight="1" x14ac:dyDescent="0.4">
      <c r="A66" s="99" t="s">
        <v>121</v>
      </c>
      <c r="B66" s="156" t="s">
        <v>6</v>
      </c>
      <c r="C66" s="101" t="str">
        <f>VLOOKUP($A66,PERTANYAAN!$A$18:$E$71,3,0)</f>
        <v>Ekspektasi Salary (Mengukur Budget &amp; Skill)</v>
      </c>
      <c r="D66" s="101" t="str">
        <f>VLOOKUP($A66,PERTANYAAN!$A$18:$E$71,4,0)</f>
        <v>Menurut anda, berapa ekspektasi salary/gaji yang anda inginkan? Bagaimana jika perusahaan belum memenuhinya?</v>
      </c>
      <c r="E66" s="46">
        <f>VLOOKUP($A66,PERTANYAAN!$A$18:$E$71,5,0)</f>
        <v>0.04</v>
      </c>
      <c r="F66" s="46"/>
      <c r="G66" s="159">
        <f>'HR (DENY)'!M66</f>
        <v>4</v>
      </c>
      <c r="H66" s="159">
        <f>'USER1-DENY'!M66</f>
        <v>4</v>
      </c>
      <c r="I66" s="159">
        <f>'USER2-DENY'!M66</f>
        <v>3.2</v>
      </c>
      <c r="J66" s="159">
        <f>'MANAGER-DENY'!M66</f>
        <v>3.2</v>
      </c>
      <c r="K66" s="33">
        <f t="shared" ref="K66:K67" si="15">AVERAGE(G66:J66)</f>
        <v>3.5999999999999996</v>
      </c>
      <c r="L66" s="101"/>
    </row>
    <row r="67" spans="1:12" s="158" customFormat="1" ht="30" customHeight="1" x14ac:dyDescent="0.4">
      <c r="A67" s="99" t="s">
        <v>122</v>
      </c>
      <c r="B67" s="156" t="s">
        <v>6</v>
      </c>
      <c r="C67" s="101" t="str">
        <f>VLOOKUP($A67,PERTANYAAN!$A$18:$E$71,3,0)</f>
        <v>Tujuan Karir</v>
      </c>
      <c r="D67" s="101" t="str">
        <f>VLOOKUP($A67,PERTANYAAN!$A$18:$E$71,4,0)</f>
        <v>Sejauh yang anda tahu tentang Daniswara, apa tujuan anda berkarir/berkarya bersama Daniswara? Apa ada target posisi yang anda inginkan?</v>
      </c>
      <c r="E67" s="46">
        <f>VLOOKUP($A67,PERTANYAAN!$A$18:$E$71,5,0)</f>
        <v>0.01</v>
      </c>
      <c r="F67" s="46"/>
      <c r="G67" s="159">
        <f>'HR (DENY)'!M67</f>
        <v>1</v>
      </c>
      <c r="H67" s="159">
        <f>'USER1-DENY'!M67</f>
        <v>1</v>
      </c>
      <c r="I67" s="159">
        <f>'USER2-DENY'!M67</f>
        <v>0.8</v>
      </c>
      <c r="J67" s="159">
        <f>'MANAGER-DENY'!M67</f>
        <v>0.8</v>
      </c>
      <c r="K67" s="33">
        <f t="shared" si="15"/>
        <v>0.89999999999999991</v>
      </c>
      <c r="L67" s="101"/>
    </row>
    <row r="68" spans="1:12" s="158" customFormat="1" x14ac:dyDescent="0.4">
      <c r="A68" s="99"/>
      <c r="B68" s="157"/>
      <c r="C68" s="101"/>
      <c r="D68" s="32"/>
      <c r="E68" s="46"/>
      <c r="F68" s="46"/>
      <c r="G68" s="157"/>
      <c r="H68" s="157"/>
      <c r="I68" s="157"/>
      <c r="J68" s="157"/>
      <c r="K68" s="33"/>
      <c r="L68" s="101"/>
    </row>
    <row r="69" spans="1:12" s="2" customFormat="1" x14ac:dyDescent="0.4">
      <c r="A69" s="3"/>
      <c r="B69" s="48" t="s">
        <v>101</v>
      </c>
      <c r="C69" s="49" t="s">
        <v>134</v>
      </c>
      <c r="D69" s="50"/>
      <c r="E69" s="51">
        <f>SUM(E70:E70)</f>
        <v>0.05</v>
      </c>
      <c r="F69" s="51"/>
      <c r="G69" s="54">
        <f t="shared" ref="G69:J69" si="16">SUM(G70)</f>
        <v>5</v>
      </c>
      <c r="H69" s="54">
        <f t="shared" si="16"/>
        <v>5</v>
      </c>
      <c r="I69" s="54">
        <f t="shared" si="16"/>
        <v>5</v>
      </c>
      <c r="J69" s="54"/>
      <c r="K69" s="54">
        <f>SUM(K70)</f>
        <v>5</v>
      </c>
      <c r="L69" s="49"/>
    </row>
    <row r="70" spans="1:12" s="158" customFormat="1" ht="30" customHeight="1" x14ac:dyDescent="0.4">
      <c r="A70" s="99" t="s">
        <v>123</v>
      </c>
      <c r="B70" s="156" t="s">
        <v>6</v>
      </c>
      <c r="C70" s="101" t="str">
        <f>VLOOKUP($A70,PERTANYAAN!$A$18:$E$71,3,0)</f>
        <v>Pertanyaan Spesifik User</v>
      </c>
      <c r="D70" s="101" t="str">
        <f>VLOOKUP($A70,PERTANYAAN!$A$18:$E$71,4,0)</f>
        <v>Jika dalam 1 team terjadi perselisihan,apa yang akan lakukan? Dan Jika terjadi kendala di lapangan, apa yang akan anda lakukan?</v>
      </c>
      <c r="E70" s="46">
        <f>VLOOKUP($A70,PERTANYAAN!$A$18:$E$71,5,0)</f>
        <v>0.05</v>
      </c>
      <c r="F70" s="46"/>
      <c r="G70" s="159">
        <f>'HR (DENY)'!M70</f>
        <v>5</v>
      </c>
      <c r="H70" s="159">
        <f>'USER1-DENY'!M70</f>
        <v>5</v>
      </c>
      <c r="I70" s="159">
        <f>'USER2-DENY'!M70</f>
        <v>5</v>
      </c>
      <c r="J70" s="159"/>
      <c r="K70" s="33">
        <f t="shared" ref="K70" si="17">AVERAGE(G70:J70)</f>
        <v>5</v>
      </c>
      <c r="L70" s="101"/>
    </row>
    <row r="71" spans="1:12" x14ac:dyDescent="0.4">
      <c r="B71" s="105"/>
      <c r="C71" s="106"/>
      <c r="D71" s="31"/>
      <c r="E71" s="22"/>
      <c r="F71" s="22"/>
      <c r="G71" s="107"/>
      <c r="H71" s="107"/>
      <c r="I71" s="107"/>
      <c r="J71" s="107"/>
      <c r="K71" s="21"/>
      <c r="L71" s="106"/>
    </row>
    <row r="73" spans="1:12" x14ac:dyDescent="0.4">
      <c r="G73" s="26" t="s">
        <v>61</v>
      </c>
    </row>
    <row r="74" spans="1:12" x14ac:dyDescent="0.4">
      <c r="G74" s="94" t="s">
        <v>39</v>
      </c>
      <c r="H74" s="94" t="s">
        <v>29</v>
      </c>
      <c r="I74" s="95" t="s">
        <v>69</v>
      </c>
      <c r="J74" s="95"/>
    </row>
    <row r="75" spans="1:12" x14ac:dyDescent="0.4">
      <c r="G75" s="94" t="s">
        <v>40</v>
      </c>
      <c r="H75" s="94" t="s">
        <v>29</v>
      </c>
      <c r="I75" s="95" t="s">
        <v>70</v>
      </c>
      <c r="J75" s="95"/>
    </row>
    <row r="76" spans="1:12" x14ac:dyDescent="0.4">
      <c r="G76" s="94" t="s">
        <v>41</v>
      </c>
      <c r="H76" s="94" t="s">
        <v>29</v>
      </c>
      <c r="I76" s="95" t="s">
        <v>71</v>
      </c>
      <c r="J76" s="95"/>
    </row>
    <row r="77" spans="1:12" x14ac:dyDescent="0.4">
      <c r="G77" s="94" t="s">
        <v>42</v>
      </c>
      <c r="H77" s="94" t="s">
        <v>29</v>
      </c>
      <c r="I77" s="95" t="s">
        <v>72</v>
      </c>
      <c r="J77" s="95"/>
    </row>
    <row r="78" spans="1:12" x14ac:dyDescent="0.4">
      <c r="G78" s="94" t="s">
        <v>43</v>
      </c>
      <c r="H78" s="94" t="s">
        <v>29</v>
      </c>
      <c r="I78" s="95" t="s">
        <v>73</v>
      </c>
      <c r="J78" s="95"/>
    </row>
  </sheetData>
  <mergeCells count="8">
    <mergeCell ref="K13:K14"/>
    <mergeCell ref="L13:L14"/>
    <mergeCell ref="A13:A14"/>
    <mergeCell ref="B13:B14"/>
    <mergeCell ref="C13:C14"/>
    <mergeCell ref="D13:D14"/>
    <mergeCell ref="E13:E14"/>
    <mergeCell ref="G13:J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9614-4A8B-48D0-9940-7499BC971D8A}">
  <sheetPr>
    <tabColor rgb="FFFF0000"/>
  </sheetPr>
  <dimension ref="A1:L78"/>
  <sheetViews>
    <sheetView zoomScaleNormal="100" workbookViewId="0">
      <pane xSplit="1" ySplit="14" topLeftCell="B26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P15" sqref="P15"/>
    </sheetView>
  </sheetViews>
  <sheetFormatPr defaultRowHeight="14.6" outlineLevelRow="1" x14ac:dyDescent="0.4"/>
  <cols>
    <col min="1" max="1" width="17.69140625" style="93" customWidth="1"/>
    <col min="2" max="2" width="4.3828125" style="92" bestFit="1" customWidth="1"/>
    <col min="3" max="3" width="40.15234375" style="93" bestFit="1" customWidth="1"/>
    <col min="4" max="4" width="70.69140625" style="4" customWidth="1"/>
    <col min="5" max="5" width="9.23046875" style="5"/>
    <col min="6" max="6" width="1.69140625" style="5" customWidth="1"/>
    <col min="7" max="9" width="7.69140625" style="94" customWidth="1"/>
    <col min="10" max="10" width="10.15234375" style="94" bestFit="1" customWidth="1"/>
    <col min="11" max="11" width="9.23046875" style="4"/>
    <col min="12" max="12" width="16.84375" style="93" customWidth="1"/>
    <col min="13" max="13" width="1" style="93" customWidth="1"/>
    <col min="14" max="16384" width="9.23046875" style="93"/>
  </cols>
  <sheetData>
    <row r="1" spans="1:12" x14ac:dyDescent="0.4">
      <c r="A1" s="2" t="s">
        <v>125</v>
      </c>
    </row>
    <row r="2" spans="1:12" x14ac:dyDescent="0.4">
      <c r="A2" s="2" t="s">
        <v>0</v>
      </c>
    </row>
    <row r="5" spans="1:12" x14ac:dyDescent="0.4">
      <c r="A5" s="2" t="s">
        <v>1</v>
      </c>
      <c r="B5" s="92" t="s">
        <v>29</v>
      </c>
      <c r="C5" s="2" t="s">
        <v>152</v>
      </c>
    </row>
    <row r="6" spans="1:12" x14ac:dyDescent="0.4">
      <c r="A6" s="2" t="s">
        <v>20</v>
      </c>
      <c r="B6" s="92" t="s">
        <v>29</v>
      </c>
      <c r="C6" s="93" t="s">
        <v>31</v>
      </c>
    </row>
    <row r="7" spans="1:12" x14ac:dyDescent="0.4">
      <c r="A7" s="2" t="s">
        <v>32</v>
      </c>
      <c r="B7" s="92" t="s">
        <v>29</v>
      </c>
      <c r="C7" s="93" t="s">
        <v>33</v>
      </c>
    </row>
    <row r="8" spans="1:12" x14ac:dyDescent="0.4">
      <c r="A8" s="2" t="s">
        <v>34</v>
      </c>
      <c r="B8" s="92" t="s">
        <v>29</v>
      </c>
      <c r="C8" s="93" t="s">
        <v>35</v>
      </c>
    </row>
    <row r="9" spans="1:12" x14ac:dyDescent="0.4">
      <c r="A9" s="2" t="s">
        <v>28</v>
      </c>
      <c r="B9" s="92" t="s">
        <v>29</v>
      </c>
      <c r="C9" s="93" t="s">
        <v>83</v>
      </c>
    </row>
    <row r="10" spans="1:12" x14ac:dyDescent="0.4">
      <c r="A10" s="2" t="s">
        <v>68</v>
      </c>
      <c r="B10" s="92" t="s">
        <v>29</v>
      </c>
      <c r="C10" s="2" t="s">
        <v>62</v>
      </c>
    </row>
    <row r="11" spans="1:12" x14ac:dyDescent="0.4">
      <c r="A11" s="2" t="s">
        <v>67</v>
      </c>
      <c r="B11" s="92" t="s">
        <v>29</v>
      </c>
      <c r="C11" s="24">
        <f>K16</f>
        <v>77.616666666666674</v>
      </c>
    </row>
    <row r="13" spans="1:12" s="2" customFormat="1" x14ac:dyDescent="0.4">
      <c r="A13" s="67" t="s">
        <v>124</v>
      </c>
      <c r="B13" s="68" t="s">
        <v>2</v>
      </c>
      <c r="C13" s="68" t="s">
        <v>3</v>
      </c>
      <c r="D13" s="73" t="s">
        <v>74</v>
      </c>
      <c r="E13" s="70" t="s">
        <v>19</v>
      </c>
      <c r="F13" s="42"/>
      <c r="G13" s="75" t="s">
        <v>37</v>
      </c>
      <c r="H13" s="76"/>
      <c r="I13" s="76"/>
      <c r="J13" s="77"/>
      <c r="K13" s="65" t="s">
        <v>17</v>
      </c>
      <c r="L13" s="66" t="s">
        <v>61</v>
      </c>
    </row>
    <row r="14" spans="1:12" s="2" customFormat="1" x14ac:dyDescent="0.4">
      <c r="A14" s="67"/>
      <c r="B14" s="68"/>
      <c r="C14" s="96"/>
      <c r="D14" s="74"/>
      <c r="E14" s="71"/>
      <c r="F14" s="44"/>
      <c r="G14" s="41" t="s">
        <v>68</v>
      </c>
      <c r="H14" s="41" t="s">
        <v>93</v>
      </c>
      <c r="I14" s="41" t="s">
        <v>94</v>
      </c>
      <c r="J14" s="41" t="s">
        <v>96</v>
      </c>
      <c r="K14" s="65"/>
      <c r="L14" s="66"/>
    </row>
    <row r="15" spans="1:12" s="2" customFormat="1" x14ac:dyDescent="0.4">
      <c r="A15" s="3"/>
      <c r="B15" s="10"/>
      <c r="C15" s="10"/>
      <c r="D15" s="10"/>
      <c r="E15" s="10"/>
      <c r="F15" s="9"/>
      <c r="G15" s="12"/>
      <c r="H15" s="12"/>
      <c r="I15" s="12"/>
      <c r="J15" s="12"/>
      <c r="K15" s="8"/>
      <c r="L15" s="13"/>
    </row>
    <row r="16" spans="1:12" s="2" customFormat="1" x14ac:dyDescent="0.4">
      <c r="B16" s="34"/>
      <c r="C16" s="35" t="s">
        <v>65</v>
      </c>
      <c r="D16" s="36"/>
      <c r="E16" s="37">
        <f>E17+E21+E27+E43+E60+E65+E69</f>
        <v>1</v>
      </c>
      <c r="F16" s="37"/>
      <c r="G16" s="40">
        <f t="shared" ref="G16:J16" si="0">G17+G21+G27+G43+G60+G65+G69</f>
        <v>91</v>
      </c>
      <c r="H16" s="40">
        <f t="shared" si="0"/>
        <v>70</v>
      </c>
      <c r="I16" s="40">
        <f t="shared" si="0"/>
        <v>81.5</v>
      </c>
      <c r="J16" s="40">
        <f t="shared" si="0"/>
        <v>64.3</v>
      </c>
      <c r="K16" s="40">
        <f>K17+K21+K27+K43+K60+K65+K69</f>
        <v>77.616666666666674</v>
      </c>
      <c r="L16" s="35"/>
    </row>
    <row r="17" spans="1:12" x14ac:dyDescent="0.4">
      <c r="B17" s="48" t="s">
        <v>66</v>
      </c>
      <c r="C17" s="49" t="s">
        <v>4</v>
      </c>
      <c r="D17" s="50"/>
      <c r="E17" s="51">
        <f>SUM(E18:E19)</f>
        <v>0.1</v>
      </c>
      <c r="F17" s="51"/>
      <c r="G17" s="54">
        <f t="shared" ref="G17:J17" si="1">SUM(G18:G20)</f>
        <v>6</v>
      </c>
      <c r="H17" s="54">
        <f t="shared" si="1"/>
        <v>6</v>
      </c>
      <c r="I17" s="54">
        <f t="shared" si="1"/>
        <v>6</v>
      </c>
      <c r="J17" s="54">
        <f t="shared" si="1"/>
        <v>6</v>
      </c>
      <c r="K17" s="54">
        <f>SUM(K18:K20)</f>
        <v>6</v>
      </c>
      <c r="L17" s="98"/>
    </row>
    <row r="18" spans="1:12" s="158" customFormat="1" ht="30" customHeight="1" x14ac:dyDescent="0.4">
      <c r="A18" s="99" t="s">
        <v>102</v>
      </c>
      <c r="B18" s="156">
        <v>1</v>
      </c>
      <c r="C18" s="101" t="str">
        <f>VLOOKUP($A18,PERTANYAAN!$A$18:$E$71,3,0)</f>
        <v>Pengalaman di dalam Daniswara Group</v>
      </c>
      <c r="D18" s="101" t="str">
        <f>VLOOKUP($A18,PERTANYAAN!$A$18:$E$71,4,0)</f>
        <v>Apakah ada Pengalaman di Daniswara Group? Bagaimana pandangan anda terkait Daniswara Group?</v>
      </c>
      <c r="E18" s="46">
        <f>VLOOKUP($A18,PERTANYAAN!$A$18:$E$71,5,0)</f>
        <v>0.06</v>
      </c>
      <c r="F18" s="46"/>
      <c r="G18" s="159">
        <f>'HR (OPIK)'!M18</f>
        <v>6</v>
      </c>
      <c r="H18" s="159">
        <f>'USER1-TAUFIK'!M18</f>
        <v>6</v>
      </c>
      <c r="I18" s="159">
        <f>'USER2-TAUFIK'!M18</f>
        <v>6</v>
      </c>
      <c r="J18" s="159">
        <f>'MANAGER-TAUFIK'!M18</f>
        <v>6</v>
      </c>
      <c r="K18" s="33">
        <f>AVERAGE(G18:J18)</f>
        <v>6</v>
      </c>
      <c r="L18" s="101"/>
    </row>
    <row r="19" spans="1:12" s="158" customFormat="1" ht="30" customHeight="1" x14ac:dyDescent="0.4">
      <c r="A19" s="99" t="s">
        <v>103</v>
      </c>
      <c r="B19" s="156">
        <f>B18+1</f>
        <v>2</v>
      </c>
      <c r="C19" s="101" t="str">
        <f>VLOOKUP($A19,PERTANYAAN!$A$18:$E$71,3,0)</f>
        <v>Pengalaman di luar Daniswara Group</v>
      </c>
      <c r="D19" s="101" t="str">
        <f>VLOOKUP($A19,PERTANYAAN!$A$18:$E$71,4,0)</f>
        <v>Jika tidak, apakah sudah ada pengalaman sejenis di luar Daniswara?</v>
      </c>
      <c r="E19" s="46">
        <f>VLOOKUP($A19,PERTANYAAN!$A$18:$E$71,5,0)</f>
        <v>0.04</v>
      </c>
      <c r="F19" s="46"/>
      <c r="G19" s="159">
        <f>'HR (OPIK)'!M19</f>
        <v>0</v>
      </c>
      <c r="H19" s="159">
        <f>'USER1-TAUFIK'!M19</f>
        <v>0</v>
      </c>
      <c r="I19" s="159">
        <f>'USER2-TAUFIK'!M19</f>
        <v>0</v>
      </c>
      <c r="J19" s="159">
        <f>'MANAGER-TAUFIK'!M19</f>
        <v>0</v>
      </c>
      <c r="K19" s="33">
        <f t="shared" ref="K19" si="2">AVERAGE(G19:J19)</f>
        <v>0</v>
      </c>
      <c r="L19" s="101"/>
    </row>
    <row r="20" spans="1:12" x14ac:dyDescent="0.4">
      <c r="A20" s="92"/>
      <c r="B20" s="104"/>
      <c r="C20" s="103"/>
      <c r="D20" s="30"/>
      <c r="E20" s="17"/>
      <c r="F20" s="17"/>
      <c r="G20" s="102"/>
      <c r="H20" s="102"/>
      <c r="I20" s="102"/>
      <c r="J20" s="102"/>
      <c r="K20" s="16"/>
      <c r="L20" s="103"/>
    </row>
    <row r="21" spans="1:12" x14ac:dyDescent="0.4">
      <c r="A21" s="92"/>
      <c r="B21" s="48" t="s">
        <v>42</v>
      </c>
      <c r="C21" s="49" t="s">
        <v>9</v>
      </c>
      <c r="D21" s="50"/>
      <c r="E21" s="51">
        <f>SUM(E22:E25)</f>
        <v>0.05</v>
      </c>
      <c r="F21" s="51"/>
      <c r="G21" s="54">
        <f t="shared" ref="G21:J21" si="3">SUM(G22:G25)</f>
        <v>5</v>
      </c>
      <c r="H21" s="54">
        <f t="shared" si="3"/>
        <v>5</v>
      </c>
      <c r="I21" s="54">
        <f t="shared" si="3"/>
        <v>3</v>
      </c>
      <c r="J21" s="54">
        <f t="shared" si="3"/>
        <v>3</v>
      </c>
      <c r="K21" s="54">
        <f>SUM(K22:K25)</f>
        <v>4</v>
      </c>
      <c r="L21" s="98"/>
    </row>
    <row r="22" spans="1:12" s="158" customFormat="1" ht="30" customHeight="1" x14ac:dyDescent="0.4">
      <c r="A22" s="99" t="s">
        <v>104</v>
      </c>
      <c r="B22" s="156">
        <v>1</v>
      </c>
      <c r="C22" s="101" t="str">
        <f>VLOOKUP($A22,PERTANYAAN!$A$18:$E$71,3,0)</f>
        <v>Identitas (KTP &amp; KK)</v>
      </c>
      <c r="D22" s="101" t="str">
        <f>VLOOKUP($A22,PERTANYAAN!$A$18:$E$71,4,0)</f>
        <v>Apakah ada Identitas Diri KTP &amp; KK?</v>
      </c>
      <c r="E22" s="46">
        <f>VLOOKUP($A22,PERTANYAAN!$A$18:$E$71,5,0)</f>
        <v>0.01</v>
      </c>
      <c r="F22" s="46"/>
      <c r="G22" s="159">
        <f>'HR (OPIK)'!M22</f>
        <v>1</v>
      </c>
      <c r="H22" s="159">
        <f>'USER1-TAUFIK'!M22</f>
        <v>1</v>
      </c>
      <c r="I22" s="159">
        <f>'USER2-TAUFIK'!M22</f>
        <v>1</v>
      </c>
      <c r="J22" s="159">
        <f>'MANAGER-TAUFIK'!M22</f>
        <v>1</v>
      </c>
      <c r="K22" s="33">
        <f t="shared" ref="K22:K25" si="4">AVERAGE(G22:J22)</f>
        <v>1</v>
      </c>
      <c r="L22" s="101"/>
    </row>
    <row r="23" spans="1:12" s="158" customFormat="1" ht="30" customHeight="1" x14ac:dyDescent="0.4">
      <c r="A23" s="99" t="s">
        <v>105</v>
      </c>
      <c r="B23" s="156">
        <f>B22+1</f>
        <v>2</v>
      </c>
      <c r="C23" s="101" t="str">
        <f>VLOOKUP($A23,PERTANYAAN!$A$18:$E$71,3,0)</f>
        <v>SIM A (utk jabatan di Divisi Operasi)</v>
      </c>
      <c r="D23" s="101" t="str">
        <f>VLOOKUP($A23,PERTANYAAN!$A$18:$E$71,4,0)</f>
        <v>Apakah sudah memiliki SIM A?</v>
      </c>
      <c r="E23" s="46">
        <f>VLOOKUP($A23,PERTANYAAN!$A$18:$E$71,5,0)</f>
        <v>0.02</v>
      </c>
      <c r="F23" s="46"/>
      <c r="G23" s="159">
        <f>'HR (OPIK)'!M23</f>
        <v>2</v>
      </c>
      <c r="H23" s="159">
        <f>'USER1-TAUFIK'!M23</f>
        <v>2</v>
      </c>
      <c r="I23" s="159">
        <f>'USER2-TAUFIK'!M23</f>
        <v>0</v>
      </c>
      <c r="J23" s="159">
        <f>'MANAGER-TAUFIK'!M23</f>
        <v>0</v>
      </c>
      <c r="K23" s="33">
        <f t="shared" si="4"/>
        <v>1</v>
      </c>
      <c r="L23" s="101"/>
    </row>
    <row r="24" spans="1:12" s="158" customFormat="1" ht="30" customHeight="1" x14ac:dyDescent="0.4">
      <c r="A24" s="99" t="s">
        <v>106</v>
      </c>
      <c r="B24" s="156">
        <f t="shared" ref="B24:B25" si="5">B23+1</f>
        <v>3</v>
      </c>
      <c r="C24" s="101" t="str">
        <f>VLOOKUP($A24,PERTANYAAN!$A$18:$E$71,3,0)</f>
        <v>SIM C</v>
      </c>
      <c r="D24" s="101" t="str">
        <f>VLOOKUP($A24,PERTANYAAN!$A$18:$E$71,4,0)</f>
        <v>Apakah sudah memiliki SIM C?</v>
      </c>
      <c r="E24" s="46">
        <f>VLOOKUP($A24,PERTANYAAN!$A$18:$E$71,5,0)</f>
        <v>0.01</v>
      </c>
      <c r="F24" s="46"/>
      <c r="G24" s="159">
        <f>'HR (OPIK)'!M24</f>
        <v>1</v>
      </c>
      <c r="H24" s="159">
        <f>'USER1-TAUFIK'!M24</f>
        <v>1</v>
      </c>
      <c r="I24" s="159">
        <f>'USER2-TAUFIK'!M24</f>
        <v>1</v>
      </c>
      <c r="J24" s="159">
        <f>'MANAGER-TAUFIK'!M24</f>
        <v>1</v>
      </c>
      <c r="K24" s="33">
        <f t="shared" si="4"/>
        <v>1</v>
      </c>
      <c r="L24" s="101"/>
    </row>
    <row r="25" spans="1:12" s="158" customFormat="1" ht="30" customHeight="1" x14ac:dyDescent="0.4">
      <c r="A25" s="99" t="s">
        <v>107</v>
      </c>
      <c r="B25" s="156">
        <f t="shared" si="5"/>
        <v>4</v>
      </c>
      <c r="C25" s="101" t="str">
        <f>VLOOKUP($A25,PERTANYAAN!$A$18:$E$71,3,0)</f>
        <v>NPWP</v>
      </c>
      <c r="D25" s="101" t="str">
        <f>VLOOKUP($A25,PERTANYAAN!$A$18:$E$71,4,0)</f>
        <v>Apakah sudah Memiliki NPWP?</v>
      </c>
      <c r="E25" s="46">
        <f>VLOOKUP($A25,PERTANYAAN!$A$18:$E$71,5,0)</f>
        <v>0.01</v>
      </c>
      <c r="F25" s="46"/>
      <c r="G25" s="159">
        <f>'HR (OPIK)'!M25</f>
        <v>1</v>
      </c>
      <c r="H25" s="159">
        <f>'USER1-TAUFIK'!M25</f>
        <v>1</v>
      </c>
      <c r="I25" s="159">
        <f>'USER2-TAUFIK'!M25</f>
        <v>1</v>
      </c>
      <c r="J25" s="159">
        <f>'MANAGER-TAUFIK'!M25</f>
        <v>1</v>
      </c>
      <c r="K25" s="33">
        <f t="shared" si="4"/>
        <v>1</v>
      </c>
      <c r="L25" s="101"/>
    </row>
    <row r="26" spans="1:12" x14ac:dyDescent="0.4">
      <c r="A26" s="92"/>
      <c r="B26" s="104"/>
      <c r="C26" s="103"/>
      <c r="D26" s="30"/>
      <c r="E26" s="17"/>
      <c r="F26" s="17"/>
      <c r="G26" s="102"/>
      <c r="H26" s="102"/>
      <c r="I26" s="102"/>
      <c r="J26" s="102"/>
      <c r="K26" s="16"/>
      <c r="L26" s="103"/>
    </row>
    <row r="27" spans="1:12" x14ac:dyDescent="0.4">
      <c r="A27" s="92"/>
      <c r="B27" s="48" t="s">
        <v>97</v>
      </c>
      <c r="C27" s="49" t="s">
        <v>21</v>
      </c>
      <c r="D27" s="56"/>
      <c r="E27" s="51">
        <f>E28</f>
        <v>0.35000000000000003</v>
      </c>
      <c r="F27" s="57"/>
      <c r="G27" s="54">
        <f t="shared" ref="G27:J27" si="6">G28</f>
        <v>33</v>
      </c>
      <c r="H27" s="54">
        <f t="shared" si="6"/>
        <v>28</v>
      </c>
      <c r="I27" s="54">
        <f t="shared" si="6"/>
        <v>33</v>
      </c>
      <c r="J27" s="54">
        <f t="shared" si="6"/>
        <v>29</v>
      </c>
      <c r="K27" s="54">
        <f>K28</f>
        <v>30.75</v>
      </c>
      <c r="L27" s="98"/>
    </row>
    <row r="28" spans="1:12" x14ac:dyDescent="0.4">
      <c r="A28" s="99" t="s">
        <v>108</v>
      </c>
      <c r="B28" s="100">
        <v>1</v>
      </c>
      <c r="C28" s="101" t="str">
        <f>VLOOKUP($A28,PERTANYAAN!$A$18:$E$71,3,0)</f>
        <v>Operasi / Logistik</v>
      </c>
      <c r="D28" s="30"/>
      <c r="E28" s="46">
        <f>VLOOKUP($A28,PERTANYAAN!$A$18:$E$71,5,0)</f>
        <v>0.35000000000000003</v>
      </c>
      <c r="F28" s="17"/>
      <c r="G28" s="16">
        <f t="shared" ref="G28:J28" si="7">SUM(G29:G33)</f>
        <v>33</v>
      </c>
      <c r="H28" s="16">
        <f t="shared" si="7"/>
        <v>28</v>
      </c>
      <c r="I28" s="16">
        <f t="shared" si="7"/>
        <v>33</v>
      </c>
      <c r="J28" s="16">
        <f t="shared" si="7"/>
        <v>29</v>
      </c>
      <c r="K28" s="16">
        <f>SUM(K29:K33)</f>
        <v>30.75</v>
      </c>
      <c r="L28" s="103"/>
    </row>
    <row r="29" spans="1:12" s="158" customFormat="1" ht="30" customHeight="1" x14ac:dyDescent="0.4">
      <c r="A29" s="99" t="s">
        <v>109</v>
      </c>
      <c r="B29" s="156" t="s">
        <v>6</v>
      </c>
      <c r="C29" s="101" t="str">
        <f>VLOOKUP($A29,PERTANYAAN!$A$18:$E$71,3,0)</f>
        <v>Skill Mengemudi</v>
      </c>
      <c r="D29" s="101" t="str">
        <f>VLOOKUP($A29,PERTANYAAN!$A$18:$E$71,4,0)</f>
        <v>Coba ceritakan pengalaman / keahlian dalam mengemudi mobil angkut/logistik?</v>
      </c>
      <c r="E29" s="46">
        <f>VLOOKUP($A29,PERTANYAAN!$A$18:$E$71,5,0)</f>
        <v>0.15</v>
      </c>
      <c r="F29" s="46"/>
      <c r="G29" s="159">
        <f>'HR (OPIK)'!M29</f>
        <v>15</v>
      </c>
      <c r="H29" s="159">
        <f>'USER1-TAUFIK'!M29</f>
        <v>12</v>
      </c>
      <c r="I29" s="159">
        <f>'USER2-TAUFIK'!M29</f>
        <v>15</v>
      </c>
      <c r="J29" s="159">
        <f>'MANAGER-TAUFIK'!M29</f>
        <v>15</v>
      </c>
      <c r="K29" s="33">
        <f t="shared" ref="K29:K32" si="8">AVERAGE(G29:J29)</f>
        <v>14.25</v>
      </c>
      <c r="L29" s="101"/>
    </row>
    <row r="30" spans="1:12" s="158" customFormat="1" ht="30" customHeight="1" x14ac:dyDescent="0.4">
      <c r="A30" s="99" t="s">
        <v>110</v>
      </c>
      <c r="B30" s="156" t="s">
        <v>6</v>
      </c>
      <c r="C30" s="101" t="str">
        <f>VLOOKUP($A30,PERTANYAAN!$A$18:$E$71,3,0)</f>
        <v>Flow Administrasi Logistik</v>
      </c>
      <c r="D30" s="101" t="str">
        <f>VLOOKUP($A30,PERTANYAAN!$A$18:$E$71,4,0)</f>
        <v>Coba ceritakan yang anda ketahui tentang alur administrasi logistik? Dan kaitannya dengan Ms. Office</v>
      </c>
      <c r="E30" s="46">
        <f>VLOOKUP($A30,PERTANYAAN!$A$18:$E$71,5,0)</f>
        <v>0.1</v>
      </c>
      <c r="F30" s="46"/>
      <c r="G30" s="159">
        <f>'HR (OPIK)'!M30</f>
        <v>8.0000000000000018</v>
      </c>
      <c r="H30" s="159">
        <f>'USER1-TAUFIK'!M30</f>
        <v>6</v>
      </c>
      <c r="I30" s="159">
        <f>'USER2-TAUFIK'!M30</f>
        <v>8.0000000000000018</v>
      </c>
      <c r="J30" s="159">
        <f>'MANAGER-TAUFIK'!M30</f>
        <v>6</v>
      </c>
      <c r="K30" s="33">
        <f t="shared" si="8"/>
        <v>7.0000000000000009</v>
      </c>
      <c r="L30" s="101"/>
    </row>
    <row r="31" spans="1:12" s="158" customFormat="1" ht="30" customHeight="1" x14ac:dyDescent="0.4">
      <c r="A31" s="99" t="s">
        <v>111</v>
      </c>
      <c r="B31" s="156" t="s">
        <v>6</v>
      </c>
      <c r="C31" s="101" t="str">
        <f>VLOOKUP($A31,PERTANYAAN!$A$18:$E$71,3,0)</f>
        <v>Pengetahuan terkait logistik</v>
      </c>
      <c r="D31" s="101" t="str">
        <f>VLOOKUP($A31,PERTANYAAN!$A$18:$E$71,4,0)</f>
        <v>Ceritakan yang anda ketahui terkait dengan logistik?</v>
      </c>
      <c r="E31" s="46">
        <f>VLOOKUP($A31,PERTANYAAN!$A$18:$E$71,5,0)</f>
        <v>2.5000000000000001E-2</v>
      </c>
      <c r="F31" s="46"/>
      <c r="G31" s="159">
        <f>'HR (OPIK)'!M31</f>
        <v>2.5</v>
      </c>
      <c r="H31" s="159">
        <f>'USER1-TAUFIK'!M31</f>
        <v>2.5</v>
      </c>
      <c r="I31" s="159">
        <f>'USER2-TAUFIK'!M31</f>
        <v>2.5</v>
      </c>
      <c r="J31" s="159">
        <f>'MANAGER-TAUFIK'!M31</f>
        <v>2.0000000000000004</v>
      </c>
      <c r="K31" s="33">
        <f t="shared" si="8"/>
        <v>2.375</v>
      </c>
      <c r="L31" s="101"/>
    </row>
    <row r="32" spans="1:12" s="158" customFormat="1" ht="30" customHeight="1" x14ac:dyDescent="0.4">
      <c r="A32" s="99" t="s">
        <v>112</v>
      </c>
      <c r="B32" s="156" t="s">
        <v>6</v>
      </c>
      <c r="C32" s="101" t="str">
        <f>VLOOKUP($A32,PERTANYAAN!$A$18:$E$71,3,0)</f>
        <v>Pengalaman di Bongkar Muat</v>
      </c>
      <c r="D32" s="101" t="str">
        <f>VLOOKUP($A32,PERTANYAAN!$A$18:$E$71,4,0)</f>
        <v>Apakah memiliki pengalaman terkait bongkar muat?sedalam apa?</v>
      </c>
      <c r="E32" s="46">
        <f>VLOOKUP($A32,PERTANYAAN!$A$18:$E$71,5,0)</f>
        <v>7.4999999999999997E-2</v>
      </c>
      <c r="F32" s="46"/>
      <c r="G32" s="159">
        <f>'HR (OPIK)'!M32</f>
        <v>7.5</v>
      </c>
      <c r="H32" s="159">
        <f>'USER1-TAUFIK'!M32</f>
        <v>7.5</v>
      </c>
      <c r="I32" s="159">
        <f>'USER2-TAUFIK'!M32</f>
        <v>7.5</v>
      </c>
      <c r="J32" s="159">
        <f>'MANAGER-TAUFIK'!M32</f>
        <v>6</v>
      </c>
      <c r="K32" s="33">
        <f t="shared" si="8"/>
        <v>7.125</v>
      </c>
      <c r="L32" s="101"/>
    </row>
    <row r="33" spans="1:12" x14ac:dyDescent="0.4">
      <c r="A33" s="92"/>
      <c r="B33" s="100"/>
      <c r="C33" s="103"/>
      <c r="D33" s="30"/>
      <c r="E33" s="17"/>
      <c r="F33" s="17"/>
      <c r="G33" s="102"/>
      <c r="H33" s="102"/>
      <c r="I33" s="102"/>
      <c r="J33" s="102"/>
      <c r="K33" s="16"/>
      <c r="L33" s="103"/>
    </row>
    <row r="34" spans="1:12" hidden="1" outlineLevel="1" x14ac:dyDescent="0.4">
      <c r="A34" s="92"/>
      <c r="B34" s="100">
        <f>B28+1</f>
        <v>2</v>
      </c>
      <c r="C34" s="103" t="s">
        <v>22</v>
      </c>
      <c r="D34" s="30"/>
      <c r="E34" s="17">
        <f>SUM(E35:E37)</f>
        <v>0.35</v>
      </c>
      <c r="F34" s="17"/>
      <c r="G34" s="102"/>
      <c r="H34" s="102"/>
      <c r="I34" s="102"/>
      <c r="J34" s="102"/>
      <c r="K34" s="16"/>
      <c r="L34" s="103"/>
    </row>
    <row r="35" spans="1:12" hidden="1" outlineLevel="1" x14ac:dyDescent="0.4">
      <c r="A35" s="92"/>
      <c r="B35" s="100" t="s">
        <v>6</v>
      </c>
      <c r="C35" s="103" t="s">
        <v>44</v>
      </c>
      <c r="D35" s="30"/>
      <c r="E35" s="17">
        <v>0.15</v>
      </c>
      <c r="F35" s="17"/>
      <c r="G35" s="102"/>
      <c r="H35" s="102"/>
      <c r="I35" s="102"/>
      <c r="J35" s="102"/>
      <c r="K35" s="16"/>
      <c r="L35" s="103"/>
    </row>
    <row r="36" spans="1:12" hidden="1" outlineLevel="1" x14ac:dyDescent="0.4">
      <c r="A36" s="92"/>
      <c r="B36" s="100" t="s">
        <v>6</v>
      </c>
      <c r="C36" s="103" t="s">
        <v>50</v>
      </c>
      <c r="D36" s="30"/>
      <c r="E36" s="17">
        <v>0.2</v>
      </c>
      <c r="F36" s="17"/>
      <c r="G36" s="102"/>
      <c r="H36" s="102"/>
      <c r="I36" s="102"/>
      <c r="J36" s="102"/>
      <c r="K36" s="16"/>
      <c r="L36" s="103"/>
    </row>
    <row r="37" spans="1:12" hidden="1" outlineLevel="1" x14ac:dyDescent="0.4">
      <c r="A37" s="92"/>
      <c r="B37" s="100"/>
      <c r="C37" s="103"/>
      <c r="D37" s="30"/>
      <c r="E37" s="17"/>
      <c r="F37" s="17"/>
      <c r="G37" s="102"/>
      <c r="H37" s="102"/>
      <c r="I37" s="102"/>
      <c r="J37" s="102"/>
      <c r="K37" s="16"/>
      <c r="L37" s="103"/>
    </row>
    <row r="38" spans="1:12" hidden="1" outlineLevel="1" x14ac:dyDescent="0.4">
      <c r="A38" s="92"/>
      <c r="B38" s="104">
        <v>3</v>
      </c>
      <c r="C38" s="103" t="s">
        <v>23</v>
      </c>
      <c r="D38" s="30"/>
      <c r="E38" s="17"/>
      <c r="F38" s="17"/>
      <c r="G38" s="102"/>
      <c r="H38" s="102"/>
      <c r="I38" s="102"/>
      <c r="J38" s="102"/>
      <c r="K38" s="16"/>
      <c r="L38" s="103"/>
    </row>
    <row r="39" spans="1:12" hidden="1" outlineLevel="1" x14ac:dyDescent="0.4">
      <c r="A39" s="92"/>
      <c r="B39" s="100" t="s">
        <v>6</v>
      </c>
      <c r="C39" s="103" t="s">
        <v>52</v>
      </c>
      <c r="D39" s="30"/>
      <c r="E39" s="17"/>
      <c r="F39" s="17"/>
      <c r="G39" s="102"/>
      <c r="H39" s="102"/>
      <c r="I39" s="102"/>
      <c r="J39" s="102"/>
      <c r="K39" s="16"/>
      <c r="L39" s="103"/>
    </row>
    <row r="40" spans="1:12" hidden="1" outlineLevel="1" x14ac:dyDescent="0.4">
      <c r="A40" s="92"/>
      <c r="B40" s="100" t="s">
        <v>6</v>
      </c>
      <c r="C40" s="103" t="s">
        <v>53</v>
      </c>
      <c r="D40" s="30"/>
      <c r="E40" s="17"/>
      <c r="F40" s="17"/>
      <c r="G40" s="102"/>
      <c r="H40" s="102"/>
      <c r="I40" s="102"/>
      <c r="J40" s="102"/>
      <c r="K40" s="16"/>
      <c r="L40" s="103"/>
    </row>
    <row r="41" spans="1:12" hidden="1" outlineLevel="1" x14ac:dyDescent="0.4">
      <c r="A41" s="92"/>
      <c r="B41" s="100" t="s">
        <v>6</v>
      </c>
      <c r="C41" s="103"/>
      <c r="D41" s="30"/>
      <c r="E41" s="17"/>
      <c r="F41" s="17"/>
      <c r="G41" s="102"/>
      <c r="H41" s="102"/>
      <c r="I41" s="102"/>
      <c r="J41" s="102"/>
      <c r="K41" s="16"/>
      <c r="L41" s="103"/>
    </row>
    <row r="42" spans="1:12" hidden="1" outlineLevel="1" x14ac:dyDescent="0.4">
      <c r="A42" s="92"/>
      <c r="B42" s="104"/>
      <c r="C42" s="103"/>
      <c r="D42" s="30"/>
      <c r="E42" s="17"/>
      <c r="F42" s="17"/>
      <c r="G42" s="102"/>
      <c r="H42" s="102"/>
      <c r="I42" s="102"/>
      <c r="J42" s="102"/>
      <c r="K42" s="16"/>
      <c r="L42" s="103"/>
    </row>
    <row r="43" spans="1:12" s="2" customFormat="1" collapsed="1" x14ac:dyDescent="0.4">
      <c r="A43" s="3"/>
      <c r="B43" s="48" t="s">
        <v>98</v>
      </c>
      <c r="C43" s="49" t="s">
        <v>24</v>
      </c>
      <c r="D43" s="50"/>
      <c r="E43" s="51">
        <f>E44</f>
        <v>0.25</v>
      </c>
      <c r="F43" s="51"/>
      <c r="G43" s="54">
        <f t="shared" ref="G43:J43" si="9">G44</f>
        <v>24.5</v>
      </c>
      <c r="H43" s="54">
        <f t="shared" si="9"/>
        <v>16.5</v>
      </c>
      <c r="I43" s="54">
        <f t="shared" si="9"/>
        <v>21.000000000000004</v>
      </c>
      <c r="J43" s="54">
        <f t="shared" si="9"/>
        <v>16</v>
      </c>
      <c r="K43" s="54">
        <f>K44</f>
        <v>19.5</v>
      </c>
      <c r="L43" s="49"/>
    </row>
    <row r="44" spans="1:12" x14ac:dyDescent="0.4">
      <c r="A44" s="92" t="s">
        <v>113</v>
      </c>
      <c r="B44" s="104">
        <v>1</v>
      </c>
      <c r="C44" s="101" t="str">
        <f>VLOOKUP($A44,PERTANYAAN!$A$18:$E$71,3,0)</f>
        <v>Staff</v>
      </c>
      <c r="D44" s="30"/>
      <c r="E44" s="17">
        <f>SUM(E45:E49)</f>
        <v>0.25</v>
      </c>
      <c r="F44" s="17"/>
      <c r="G44" s="16">
        <f t="shared" ref="G44:J44" si="10">SUM(G45:G48)</f>
        <v>24.5</v>
      </c>
      <c r="H44" s="16">
        <f t="shared" si="10"/>
        <v>16.5</v>
      </c>
      <c r="I44" s="16">
        <f t="shared" si="10"/>
        <v>21.000000000000004</v>
      </c>
      <c r="J44" s="16">
        <f t="shared" si="10"/>
        <v>16</v>
      </c>
      <c r="K44" s="16">
        <f>SUM(K45:K48)</f>
        <v>19.5</v>
      </c>
      <c r="L44" s="103"/>
    </row>
    <row r="45" spans="1:12" s="158" customFormat="1" ht="30" customHeight="1" x14ac:dyDescent="0.4">
      <c r="A45" s="99" t="s">
        <v>114</v>
      </c>
      <c r="B45" s="156" t="s">
        <v>6</v>
      </c>
      <c r="C45" s="101" t="str">
        <f>VLOOKUP($A45,PERTANYAAN!$A$18:$E$71,3,0)</f>
        <v>Kepemimpinan</v>
      </c>
      <c r="D45" s="101" t="str">
        <f>VLOOKUP($A45,PERTANYAAN!$A$18:$E$71,4,0)</f>
        <v>Jika terjadi suatu diskusi dalam group/kelompok yang belum menemukan titik temu, apa yang akan anda lakukan?</v>
      </c>
      <c r="E45" s="46">
        <f>VLOOKUP($A45,PERTANYAAN!$A$18:$E$71,5,0)</f>
        <v>2.5000000000000001E-2</v>
      </c>
      <c r="F45" s="46"/>
      <c r="G45" s="159">
        <f>'HR (OPIK)'!M45</f>
        <v>2.0000000000000004</v>
      </c>
      <c r="H45" s="159">
        <f>'USER1-TAUFIK'!M45</f>
        <v>0.50000000000000011</v>
      </c>
      <c r="I45" s="159">
        <f>'USER2-TAUFIK'!M45</f>
        <v>1.5</v>
      </c>
      <c r="J45" s="159">
        <f>'MANAGER-TAUFIK'!M45</f>
        <v>1.0000000000000002</v>
      </c>
      <c r="K45" s="33">
        <f t="shared" ref="K45:K48" si="11">AVERAGE(G45:J45)</f>
        <v>1.25</v>
      </c>
      <c r="L45" s="101"/>
    </row>
    <row r="46" spans="1:12" s="158" customFormat="1" ht="30" customHeight="1" x14ac:dyDescent="0.4">
      <c r="A46" s="99" t="s">
        <v>115</v>
      </c>
      <c r="B46" s="156" t="s">
        <v>6</v>
      </c>
      <c r="C46" s="101" t="str">
        <f>VLOOKUP($A46,PERTANYAAN!$A$18:$E$71,3,0)</f>
        <v>Komunikasi</v>
      </c>
      <c r="D46" s="101" t="str">
        <f>VLOOKUP($A46,PERTANYAAN!$A$18:$E$71,4,0)</f>
        <v>Bagaimana hubungan kerjasama antar sesama pegawai / organisasi / kelompok?(jika memiliki pengalaman kerja)</v>
      </c>
      <c r="E46" s="46">
        <f>VLOOKUP($A46,PERTANYAAN!$A$18:$E$71,5,0)</f>
        <v>0.1</v>
      </c>
      <c r="F46" s="46"/>
      <c r="G46" s="159">
        <f>'HR (OPIK)'!M46</f>
        <v>10</v>
      </c>
      <c r="H46" s="159">
        <f>'USER1-TAUFIK'!M46</f>
        <v>6</v>
      </c>
      <c r="I46" s="159">
        <f>'USER2-TAUFIK'!M46</f>
        <v>8.0000000000000018</v>
      </c>
      <c r="J46" s="159">
        <f>'MANAGER-TAUFIK'!M46</f>
        <v>6</v>
      </c>
      <c r="K46" s="33">
        <f t="shared" si="11"/>
        <v>7.5</v>
      </c>
      <c r="L46" s="101"/>
    </row>
    <row r="47" spans="1:12" s="158" customFormat="1" ht="30" customHeight="1" x14ac:dyDescent="0.4">
      <c r="A47" s="99" t="s">
        <v>116</v>
      </c>
      <c r="B47" s="156" t="s">
        <v>6</v>
      </c>
      <c r="C47" s="101" t="str">
        <f>VLOOKUP($A47,PERTANYAAN!$A$18:$E$71,3,0)</f>
        <v>Patuh pada Peraturan / Commitment</v>
      </c>
      <c r="D47" s="101" t="str">
        <f>VLOOKUP($A47,PERTANYAAN!$A$18:$E$71,4,0)</f>
        <v>Bagaimana pandangan anda terkait perusahaan dan aturan yang dapat berubah ubah sesuai arah perusahaan?</v>
      </c>
      <c r="E47" s="46">
        <f>VLOOKUP($A47,PERTANYAAN!$A$18:$E$71,5,0)</f>
        <v>0.05</v>
      </c>
      <c r="F47" s="46"/>
      <c r="G47" s="159">
        <f>'HR (OPIK)'!M47</f>
        <v>5</v>
      </c>
      <c r="H47" s="159">
        <f>'USER1-TAUFIK'!M47</f>
        <v>4.0000000000000009</v>
      </c>
      <c r="I47" s="159">
        <f>'USER2-TAUFIK'!M47</f>
        <v>4.0000000000000009</v>
      </c>
      <c r="J47" s="159">
        <f>'MANAGER-TAUFIK'!M47</f>
        <v>3</v>
      </c>
      <c r="K47" s="33">
        <f t="shared" si="11"/>
        <v>4</v>
      </c>
      <c r="L47" s="101"/>
    </row>
    <row r="48" spans="1:12" s="158" customFormat="1" ht="30" customHeight="1" x14ac:dyDescent="0.4">
      <c r="A48" s="99" t="s">
        <v>117</v>
      </c>
      <c r="B48" s="156" t="s">
        <v>6</v>
      </c>
      <c r="C48" s="101" t="str">
        <f>VLOOKUP($A48,PERTANYAAN!$A$18:$E$71,3,0)</f>
        <v>Determinasi thd tekanan</v>
      </c>
      <c r="D48" s="101" t="str">
        <f>VLOOKUP($A48,PERTANYAAN!$A$18:$E$71,4,0)</f>
        <v>Bagaimana pandangan anda jika anda dituntut pada pekerjaan diluar dari waktu normal dalam bekerja?</v>
      </c>
      <c r="E48" s="46">
        <f>VLOOKUP($A48,PERTANYAAN!$A$18:$E$71,5,0)</f>
        <v>7.4999999999999997E-2</v>
      </c>
      <c r="F48" s="46"/>
      <c r="G48" s="159">
        <f>'HR (OPIK)'!M48</f>
        <v>7.5</v>
      </c>
      <c r="H48" s="159">
        <f>'USER1-TAUFIK'!M48</f>
        <v>6</v>
      </c>
      <c r="I48" s="159">
        <f>'USER2-TAUFIK'!M48</f>
        <v>7.5</v>
      </c>
      <c r="J48" s="159">
        <f>'MANAGER-TAUFIK'!M48</f>
        <v>6</v>
      </c>
      <c r="K48" s="33">
        <f t="shared" si="11"/>
        <v>6.75</v>
      </c>
      <c r="L48" s="101"/>
    </row>
    <row r="49" spans="1:12" x14ac:dyDescent="0.4">
      <c r="A49" s="92"/>
      <c r="B49" s="100"/>
      <c r="C49" s="103"/>
      <c r="D49" s="30"/>
      <c r="E49" s="17"/>
      <c r="F49" s="17"/>
      <c r="G49" s="102"/>
      <c r="H49" s="102"/>
      <c r="I49" s="102"/>
      <c r="J49" s="102"/>
      <c r="K49" s="16"/>
      <c r="L49" s="103"/>
    </row>
    <row r="50" spans="1:12" hidden="1" outlineLevel="1" x14ac:dyDescent="0.4">
      <c r="A50" s="92"/>
      <c r="B50" s="104">
        <v>2</v>
      </c>
      <c r="C50" s="103" t="s">
        <v>26</v>
      </c>
      <c r="D50" s="30"/>
      <c r="E50" s="17"/>
      <c r="F50" s="17"/>
      <c r="G50" s="102"/>
      <c r="H50" s="102"/>
      <c r="I50" s="102"/>
      <c r="J50" s="102"/>
      <c r="K50" s="16"/>
      <c r="L50" s="103"/>
    </row>
    <row r="51" spans="1:12" hidden="1" outlineLevel="1" x14ac:dyDescent="0.4">
      <c r="A51" s="92"/>
      <c r="B51" s="100" t="s">
        <v>6</v>
      </c>
      <c r="C51" s="103" t="s">
        <v>54</v>
      </c>
      <c r="D51" s="30"/>
      <c r="E51" s="17"/>
      <c r="F51" s="17"/>
      <c r="G51" s="102"/>
      <c r="H51" s="102"/>
      <c r="I51" s="102"/>
      <c r="J51" s="102"/>
      <c r="K51" s="16"/>
      <c r="L51" s="103"/>
    </row>
    <row r="52" spans="1:12" hidden="1" outlineLevel="1" x14ac:dyDescent="0.4">
      <c r="A52" s="92"/>
      <c r="B52" s="100" t="s">
        <v>6</v>
      </c>
      <c r="C52" s="103" t="s">
        <v>55</v>
      </c>
      <c r="D52" s="30"/>
      <c r="E52" s="17"/>
      <c r="F52" s="17"/>
      <c r="G52" s="102"/>
      <c r="H52" s="102"/>
      <c r="I52" s="102"/>
      <c r="J52" s="102"/>
      <c r="K52" s="16"/>
      <c r="L52" s="103"/>
    </row>
    <row r="53" spans="1:12" hidden="1" outlineLevel="1" x14ac:dyDescent="0.4">
      <c r="A53" s="92"/>
      <c r="B53" s="100" t="s">
        <v>6</v>
      </c>
      <c r="C53" s="103" t="s">
        <v>56</v>
      </c>
      <c r="D53" s="30"/>
      <c r="E53" s="17"/>
      <c r="F53" s="17"/>
      <c r="G53" s="102"/>
      <c r="H53" s="102"/>
      <c r="I53" s="102"/>
      <c r="J53" s="102"/>
      <c r="K53" s="16"/>
      <c r="L53" s="103"/>
    </row>
    <row r="54" spans="1:12" hidden="1" outlineLevel="1" x14ac:dyDescent="0.4">
      <c r="A54" s="92"/>
      <c r="B54" s="100"/>
      <c r="C54" s="103"/>
      <c r="D54" s="30"/>
      <c r="E54" s="17"/>
      <c r="F54" s="17"/>
      <c r="G54" s="102"/>
      <c r="H54" s="102"/>
      <c r="I54" s="102"/>
      <c r="J54" s="102"/>
      <c r="K54" s="16"/>
      <c r="L54" s="103"/>
    </row>
    <row r="55" spans="1:12" hidden="1" outlineLevel="1" x14ac:dyDescent="0.4">
      <c r="A55" s="92"/>
      <c r="B55" s="104">
        <v>3</v>
      </c>
      <c r="C55" s="103" t="s">
        <v>27</v>
      </c>
      <c r="D55" s="30"/>
      <c r="E55" s="17"/>
      <c r="F55" s="17"/>
      <c r="G55" s="102"/>
      <c r="H55" s="102"/>
      <c r="I55" s="102"/>
      <c r="J55" s="102"/>
      <c r="K55" s="16"/>
      <c r="L55" s="103"/>
    </row>
    <row r="56" spans="1:12" hidden="1" outlineLevel="1" x14ac:dyDescent="0.4">
      <c r="A56" s="92"/>
      <c r="B56" s="100" t="s">
        <v>6</v>
      </c>
      <c r="C56" s="103" t="s">
        <v>54</v>
      </c>
      <c r="D56" s="30"/>
      <c r="E56" s="17"/>
      <c r="F56" s="17"/>
      <c r="G56" s="102"/>
      <c r="H56" s="102"/>
      <c r="I56" s="102"/>
      <c r="J56" s="102"/>
      <c r="K56" s="16"/>
      <c r="L56" s="103"/>
    </row>
    <row r="57" spans="1:12" hidden="1" outlineLevel="1" x14ac:dyDescent="0.4">
      <c r="A57" s="92"/>
      <c r="B57" s="100" t="s">
        <v>6</v>
      </c>
      <c r="C57" s="103" t="s">
        <v>56</v>
      </c>
      <c r="D57" s="30"/>
      <c r="E57" s="17"/>
      <c r="F57" s="17"/>
      <c r="G57" s="102"/>
      <c r="H57" s="102"/>
      <c r="I57" s="102"/>
      <c r="J57" s="102"/>
      <c r="K57" s="16"/>
      <c r="L57" s="103"/>
    </row>
    <row r="58" spans="1:12" hidden="1" outlineLevel="1" x14ac:dyDescent="0.4">
      <c r="A58" s="92"/>
      <c r="B58" s="100" t="s">
        <v>6</v>
      </c>
      <c r="C58" s="103" t="s">
        <v>57</v>
      </c>
      <c r="D58" s="30"/>
      <c r="E58" s="17"/>
      <c r="F58" s="17"/>
      <c r="G58" s="102"/>
      <c r="H58" s="102"/>
      <c r="I58" s="102"/>
      <c r="J58" s="102"/>
      <c r="K58" s="16"/>
      <c r="L58" s="103"/>
    </row>
    <row r="59" spans="1:12" hidden="1" outlineLevel="1" x14ac:dyDescent="0.4">
      <c r="A59" s="92"/>
      <c r="B59" s="104"/>
      <c r="C59" s="103"/>
      <c r="D59" s="30"/>
      <c r="E59" s="17"/>
      <c r="F59" s="17"/>
      <c r="G59" s="102"/>
      <c r="H59" s="102"/>
      <c r="I59" s="102"/>
      <c r="J59" s="102"/>
      <c r="K59" s="16"/>
      <c r="L59" s="103"/>
    </row>
    <row r="60" spans="1:12" s="2" customFormat="1" collapsed="1" x14ac:dyDescent="0.4">
      <c r="A60" s="3"/>
      <c r="B60" s="48" t="s">
        <v>99</v>
      </c>
      <c r="C60" s="49" t="s">
        <v>46</v>
      </c>
      <c r="D60" s="50"/>
      <c r="E60" s="51">
        <f>SUM(E61:E64)</f>
        <v>0.15</v>
      </c>
      <c r="F60" s="51"/>
      <c r="G60" s="54">
        <f t="shared" ref="G60:J60" si="12">SUM(G61:G64)</f>
        <v>13.5</v>
      </c>
      <c r="H60" s="54">
        <f t="shared" si="12"/>
        <v>8.5</v>
      </c>
      <c r="I60" s="54">
        <f t="shared" si="12"/>
        <v>10.5</v>
      </c>
      <c r="J60" s="54">
        <f t="shared" si="12"/>
        <v>6.5</v>
      </c>
      <c r="K60" s="54">
        <f>SUM(K61:K64)</f>
        <v>9.75</v>
      </c>
      <c r="L60" s="49"/>
    </row>
    <row r="61" spans="1:12" s="158" customFormat="1" ht="30" customHeight="1" x14ac:dyDescent="0.4">
      <c r="A61" s="99" t="s">
        <v>118</v>
      </c>
      <c r="B61" s="156" t="s">
        <v>6</v>
      </c>
      <c r="C61" s="101" t="str">
        <f>VLOOKUP($A61,PERTANYAAN!$A$18:$E$71,3,0)</f>
        <v>Antusiasme / Keinginan bergabung</v>
      </c>
      <c r="D61" s="101" t="str">
        <f>VLOOKUP($A61,PERTANYAAN!$A$18:$E$71,4,0)</f>
        <v>Apa yang anda pikirkan setelah mendengar / mengetahui Daniswara membutuhkan personil baru di posisi ini?</v>
      </c>
      <c r="E61" s="46">
        <f>VLOOKUP($A61,PERTANYAAN!$A$18:$E$71,5,0)</f>
        <v>7.4999999999999997E-2</v>
      </c>
      <c r="F61" s="46"/>
      <c r="G61" s="159">
        <f>'HR (OPIK)'!M61</f>
        <v>7.5</v>
      </c>
      <c r="H61" s="159">
        <f>'USER1-TAUFIK'!M61</f>
        <v>6</v>
      </c>
      <c r="I61" s="159">
        <f>'USER2-TAUFIK'!M61</f>
        <v>4.5</v>
      </c>
      <c r="J61" s="159">
        <f>'MANAGER-TAUFIK'!M61</f>
        <v>3</v>
      </c>
      <c r="K61" s="33">
        <f t="shared" ref="K61:K63" si="13">AVERAGE(G61:J61)</f>
        <v>5.25</v>
      </c>
      <c r="L61" s="101"/>
    </row>
    <row r="62" spans="1:12" s="158" customFormat="1" ht="30" customHeight="1" x14ac:dyDescent="0.4">
      <c r="A62" s="99" t="s">
        <v>119</v>
      </c>
      <c r="B62" s="156" t="s">
        <v>6</v>
      </c>
      <c r="C62" s="101" t="str">
        <f>VLOOKUP($A62,PERTANYAAN!$A$18:$E$71,3,0)</f>
        <v>Inisiatif</v>
      </c>
      <c r="D62" s="101" t="str">
        <f>VLOOKUP($A62,PERTANYAAN!$A$18:$E$71,4,0)</f>
        <v>Jika ada hal-hal yang kiranya belum diatur oleh perusahaan atau belum dapat arahan oleh atasan, apa yang biasanya anda lakukan?</v>
      </c>
      <c r="E62" s="46">
        <f>VLOOKUP($A62,PERTANYAAN!$A$18:$E$71,5,0)</f>
        <v>0.05</v>
      </c>
      <c r="F62" s="46"/>
      <c r="G62" s="159">
        <f>'HR (OPIK)'!M62</f>
        <v>4.0000000000000009</v>
      </c>
      <c r="H62" s="159">
        <f>'USER1-TAUFIK'!M62</f>
        <v>1.0000000000000002</v>
      </c>
      <c r="I62" s="159">
        <f>'USER2-TAUFIK'!M62</f>
        <v>4.0000000000000009</v>
      </c>
      <c r="J62" s="159">
        <f>'MANAGER-TAUFIK'!M62</f>
        <v>2.0000000000000004</v>
      </c>
      <c r="K62" s="33">
        <f t="shared" si="13"/>
        <v>2.7500000000000004</v>
      </c>
      <c r="L62" s="101"/>
    </row>
    <row r="63" spans="1:12" s="158" customFormat="1" ht="29.15" x14ac:dyDescent="0.4">
      <c r="A63" s="99" t="s">
        <v>120</v>
      </c>
      <c r="B63" s="156" t="s">
        <v>6</v>
      </c>
      <c r="C63" s="101" t="str">
        <f>VLOOKUP($A63,PERTANYAAN!$A$18:$E$71,3,0)</f>
        <v>Adaptif</v>
      </c>
      <c r="D63" s="101" t="str">
        <f>VLOOKUP($A63,PERTANYAAN!$A$18:$E$71,4,0)</f>
        <v>Coba ceritakan pengalaman anda terkait dengan berada dalam lingkungan yang baru / hal yang baru?</v>
      </c>
      <c r="E63" s="46">
        <f>VLOOKUP($A63,PERTANYAAN!$A$18:$E$71,5,0)</f>
        <v>2.5000000000000001E-2</v>
      </c>
      <c r="F63" s="46"/>
      <c r="G63" s="159">
        <f>'HR (OPIK)'!M63</f>
        <v>2.0000000000000004</v>
      </c>
      <c r="H63" s="159">
        <f>'USER1-TAUFIK'!M63</f>
        <v>1.5</v>
      </c>
      <c r="I63" s="159">
        <f>'USER2-TAUFIK'!M63</f>
        <v>2.0000000000000004</v>
      </c>
      <c r="J63" s="159">
        <f>'MANAGER-TAUFIK'!M63</f>
        <v>1.5</v>
      </c>
      <c r="K63" s="33">
        <f t="shared" si="13"/>
        <v>1.7500000000000002</v>
      </c>
      <c r="L63" s="101"/>
    </row>
    <row r="64" spans="1:12" x14ac:dyDescent="0.4">
      <c r="A64" s="92"/>
      <c r="B64" s="104"/>
      <c r="C64" s="103"/>
      <c r="D64" s="30"/>
      <c r="E64" s="17"/>
      <c r="F64" s="17"/>
      <c r="G64" s="102"/>
      <c r="H64" s="102"/>
      <c r="I64" s="102"/>
      <c r="J64" s="102"/>
      <c r="K64" s="16"/>
      <c r="L64" s="103"/>
    </row>
    <row r="65" spans="1:12" s="2" customFormat="1" x14ac:dyDescent="0.4">
      <c r="A65" s="3"/>
      <c r="B65" s="48" t="s">
        <v>100</v>
      </c>
      <c r="C65" s="49" t="s">
        <v>48</v>
      </c>
      <c r="D65" s="50"/>
      <c r="E65" s="51">
        <f>SUM(E66:E68)</f>
        <v>0.05</v>
      </c>
      <c r="F65" s="51"/>
      <c r="G65" s="54">
        <f t="shared" ref="G65:J65" si="14">SUM(G66:G68)</f>
        <v>5</v>
      </c>
      <c r="H65" s="54">
        <f t="shared" si="14"/>
        <v>3</v>
      </c>
      <c r="I65" s="54">
        <f t="shared" si="14"/>
        <v>4</v>
      </c>
      <c r="J65" s="54">
        <f t="shared" si="14"/>
        <v>3.8000000000000003</v>
      </c>
      <c r="K65" s="54">
        <f>SUM(K66:K68)</f>
        <v>3.95</v>
      </c>
      <c r="L65" s="49"/>
    </row>
    <row r="66" spans="1:12" s="158" customFormat="1" ht="30" customHeight="1" x14ac:dyDescent="0.4">
      <c r="A66" s="99" t="s">
        <v>121</v>
      </c>
      <c r="B66" s="156" t="s">
        <v>6</v>
      </c>
      <c r="C66" s="101" t="str">
        <f>VLOOKUP($A66,PERTANYAAN!$A$18:$E$71,3,0)</f>
        <v>Ekspektasi Salary (Mengukur Budget &amp; Skill)</v>
      </c>
      <c r="D66" s="101" t="str">
        <f>VLOOKUP($A66,PERTANYAAN!$A$18:$E$71,4,0)</f>
        <v>Menurut anda, berapa ekspektasi salary/gaji yang anda inginkan? Bagaimana jika perusahaan belum memenuhinya?</v>
      </c>
      <c r="E66" s="46">
        <f>VLOOKUP($A66,PERTANYAAN!$A$18:$E$71,5,0)</f>
        <v>0.04</v>
      </c>
      <c r="F66" s="46"/>
      <c r="G66" s="159">
        <f>'HR (OPIK)'!M66</f>
        <v>4</v>
      </c>
      <c r="H66" s="159">
        <f>'USER1-TAUFIK'!M66</f>
        <v>2.4</v>
      </c>
      <c r="I66" s="159">
        <f>'USER2-TAUFIK'!M66</f>
        <v>3.2</v>
      </c>
      <c r="J66" s="159">
        <f>'MANAGER-TAUFIK'!M66</f>
        <v>3.2</v>
      </c>
      <c r="K66" s="33">
        <f t="shared" ref="K66:K67" si="15">AVERAGE(G66:J66)</f>
        <v>3.2</v>
      </c>
      <c r="L66" s="101"/>
    </row>
    <row r="67" spans="1:12" s="158" customFormat="1" ht="30" customHeight="1" x14ac:dyDescent="0.4">
      <c r="A67" s="99" t="s">
        <v>122</v>
      </c>
      <c r="B67" s="156" t="s">
        <v>6</v>
      </c>
      <c r="C67" s="101" t="str">
        <f>VLOOKUP($A67,PERTANYAAN!$A$18:$E$71,3,0)</f>
        <v>Tujuan Karir</v>
      </c>
      <c r="D67" s="101" t="str">
        <f>VLOOKUP($A67,PERTANYAAN!$A$18:$E$71,4,0)</f>
        <v>Sejauh yang anda tahu tentang Daniswara, apa tujuan anda berkarir/berkarya bersama Daniswara? Apa ada target posisi yang anda inginkan?</v>
      </c>
      <c r="E67" s="46">
        <f>VLOOKUP($A67,PERTANYAAN!$A$18:$E$71,5,0)</f>
        <v>0.01</v>
      </c>
      <c r="F67" s="46"/>
      <c r="G67" s="159">
        <f>'HR (OPIK)'!M67</f>
        <v>1</v>
      </c>
      <c r="H67" s="159">
        <f>'USER1-TAUFIK'!M67</f>
        <v>0.6</v>
      </c>
      <c r="I67" s="159">
        <f>'USER2-TAUFIK'!M67</f>
        <v>0.8</v>
      </c>
      <c r="J67" s="159">
        <f>'MANAGER-TAUFIK'!M67</f>
        <v>0.6</v>
      </c>
      <c r="K67" s="33">
        <f t="shared" si="15"/>
        <v>0.75000000000000011</v>
      </c>
      <c r="L67" s="101"/>
    </row>
    <row r="68" spans="1:12" s="158" customFormat="1" x14ac:dyDescent="0.4">
      <c r="A68" s="99"/>
      <c r="B68" s="157"/>
      <c r="C68" s="101"/>
      <c r="D68" s="32"/>
      <c r="E68" s="46"/>
      <c r="F68" s="46"/>
      <c r="G68" s="157"/>
      <c r="H68" s="157"/>
      <c r="I68" s="157"/>
      <c r="J68" s="157"/>
      <c r="K68" s="33"/>
      <c r="L68" s="101"/>
    </row>
    <row r="69" spans="1:12" s="2" customFormat="1" x14ac:dyDescent="0.4">
      <c r="A69" s="3"/>
      <c r="B69" s="48" t="s">
        <v>101</v>
      </c>
      <c r="C69" s="49" t="s">
        <v>134</v>
      </c>
      <c r="D69" s="50"/>
      <c r="E69" s="51">
        <f>SUM(E70:E70)</f>
        <v>0.05</v>
      </c>
      <c r="F69" s="51"/>
      <c r="G69" s="54">
        <f t="shared" ref="G69:J69" si="16">SUM(G70)</f>
        <v>4.0000000000000009</v>
      </c>
      <c r="H69" s="54">
        <f t="shared" si="16"/>
        <v>3</v>
      </c>
      <c r="I69" s="54">
        <f t="shared" si="16"/>
        <v>4.0000000000000009</v>
      </c>
      <c r="J69" s="54"/>
      <c r="K69" s="54">
        <f>SUM(K70)</f>
        <v>3.6666666666666674</v>
      </c>
      <c r="L69" s="49"/>
    </row>
    <row r="70" spans="1:12" s="158" customFormat="1" ht="30" customHeight="1" x14ac:dyDescent="0.4">
      <c r="A70" s="99" t="s">
        <v>123</v>
      </c>
      <c r="B70" s="156" t="s">
        <v>6</v>
      </c>
      <c r="C70" s="101" t="str">
        <f>VLOOKUP($A70,PERTANYAAN!$A$18:$E$71,3,0)</f>
        <v>Pertanyaan Spesifik User</v>
      </c>
      <c r="D70" s="101" t="str">
        <f>VLOOKUP($A70,PERTANYAAN!$A$18:$E$71,4,0)</f>
        <v>Jika dalam 1 team terjadi perselisihan,apa yang akan lakukan? Dan Jika terjadi kendala di lapangan, apa yang akan anda lakukan?</v>
      </c>
      <c r="E70" s="46">
        <f>VLOOKUP($A70,PERTANYAAN!$A$18:$E$71,5,0)</f>
        <v>0.05</v>
      </c>
      <c r="F70" s="46"/>
      <c r="G70" s="159">
        <f>'HR (OPIK)'!M70</f>
        <v>4.0000000000000009</v>
      </c>
      <c r="H70" s="159">
        <f>'USER1-TAUFIK'!M70</f>
        <v>3</v>
      </c>
      <c r="I70" s="159">
        <f>'USER2-TAUFIK'!M70</f>
        <v>4.0000000000000009</v>
      </c>
      <c r="J70" s="159"/>
      <c r="K70" s="33">
        <f t="shared" ref="K70" si="17">AVERAGE(G70:J70)</f>
        <v>3.6666666666666674</v>
      </c>
      <c r="L70" s="101"/>
    </row>
    <row r="71" spans="1:12" x14ac:dyDescent="0.4">
      <c r="B71" s="105"/>
      <c r="C71" s="106"/>
      <c r="D71" s="31"/>
      <c r="E71" s="22"/>
      <c r="F71" s="22"/>
      <c r="G71" s="107"/>
      <c r="H71" s="107"/>
      <c r="I71" s="107"/>
      <c r="J71" s="107"/>
      <c r="K71" s="21"/>
      <c r="L71" s="106"/>
    </row>
    <row r="73" spans="1:12" x14ac:dyDescent="0.4">
      <c r="G73" s="26" t="s">
        <v>61</v>
      </c>
    </row>
    <row r="74" spans="1:12" x14ac:dyDescent="0.4">
      <c r="G74" s="94" t="s">
        <v>39</v>
      </c>
      <c r="H74" s="94" t="s">
        <v>29</v>
      </c>
      <c r="I74" s="95" t="s">
        <v>69</v>
      </c>
      <c r="J74" s="95"/>
    </row>
    <row r="75" spans="1:12" x14ac:dyDescent="0.4">
      <c r="G75" s="94" t="s">
        <v>40</v>
      </c>
      <c r="H75" s="94" t="s">
        <v>29</v>
      </c>
      <c r="I75" s="95" t="s">
        <v>70</v>
      </c>
      <c r="J75" s="95"/>
    </row>
    <row r="76" spans="1:12" x14ac:dyDescent="0.4">
      <c r="G76" s="94" t="s">
        <v>41</v>
      </c>
      <c r="H76" s="94" t="s">
        <v>29</v>
      </c>
      <c r="I76" s="95" t="s">
        <v>71</v>
      </c>
      <c r="J76" s="95"/>
    </row>
    <row r="77" spans="1:12" x14ac:dyDescent="0.4">
      <c r="G77" s="94" t="s">
        <v>42</v>
      </c>
      <c r="H77" s="94" t="s">
        <v>29</v>
      </c>
      <c r="I77" s="95" t="s">
        <v>72</v>
      </c>
      <c r="J77" s="95"/>
    </row>
    <row r="78" spans="1:12" x14ac:dyDescent="0.4">
      <c r="G78" s="94" t="s">
        <v>43</v>
      </c>
      <c r="H78" s="94" t="s">
        <v>29</v>
      </c>
      <c r="I78" s="95" t="s">
        <v>73</v>
      </c>
      <c r="J78" s="95"/>
    </row>
  </sheetData>
  <mergeCells count="8">
    <mergeCell ref="K13:K14"/>
    <mergeCell ref="L13:L14"/>
    <mergeCell ref="A13:A14"/>
    <mergeCell ref="B13:B14"/>
    <mergeCell ref="C13:C14"/>
    <mergeCell ref="D13:D14"/>
    <mergeCell ref="E13:E14"/>
    <mergeCell ref="G13:J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38A38-5A72-426A-B39E-EDC01E113FFE}">
  <sheetPr>
    <tabColor rgb="FFFF0000"/>
  </sheetPr>
  <dimension ref="A1:L78"/>
  <sheetViews>
    <sheetView zoomScaleNormal="100" workbookViewId="0">
      <pane xSplit="1" ySplit="14" topLeftCell="B15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I23" sqref="I23"/>
    </sheetView>
  </sheetViews>
  <sheetFormatPr defaultRowHeight="14.6" outlineLevelRow="1" x14ac:dyDescent="0.4"/>
  <cols>
    <col min="1" max="1" width="17.69140625" style="93" customWidth="1"/>
    <col min="2" max="2" width="4.3828125" style="92" bestFit="1" customWidth="1"/>
    <col min="3" max="3" width="40.15234375" style="93" bestFit="1" customWidth="1"/>
    <col min="4" max="4" width="70.69140625" style="4" customWidth="1"/>
    <col min="5" max="5" width="9.23046875" style="5"/>
    <col min="6" max="6" width="1.69140625" style="5" customWidth="1"/>
    <col min="7" max="9" width="7.69140625" style="94" customWidth="1"/>
    <col min="10" max="10" width="10.15234375" style="94" bestFit="1" customWidth="1"/>
    <col min="11" max="11" width="9.23046875" style="4"/>
    <col min="12" max="12" width="16.84375" style="93" customWidth="1"/>
    <col min="13" max="16384" width="9.23046875" style="93"/>
  </cols>
  <sheetData>
    <row r="1" spans="1:12" x14ac:dyDescent="0.4">
      <c r="A1" s="2" t="s">
        <v>125</v>
      </c>
    </row>
    <row r="2" spans="1:12" x14ac:dyDescent="0.4">
      <c r="A2" s="2" t="s">
        <v>0</v>
      </c>
    </row>
    <row r="5" spans="1:12" x14ac:dyDescent="0.4">
      <c r="A5" s="2" t="s">
        <v>1</v>
      </c>
      <c r="B5" s="92" t="s">
        <v>29</v>
      </c>
      <c r="C5" s="2" t="s">
        <v>148</v>
      </c>
    </row>
    <row r="6" spans="1:12" x14ac:dyDescent="0.4">
      <c r="A6" s="2" t="s">
        <v>20</v>
      </c>
      <c r="B6" s="92" t="s">
        <v>29</v>
      </c>
      <c r="C6" s="93" t="s">
        <v>31</v>
      </c>
    </row>
    <row r="7" spans="1:12" x14ac:dyDescent="0.4">
      <c r="A7" s="2" t="s">
        <v>32</v>
      </c>
      <c r="B7" s="92" t="s">
        <v>29</v>
      </c>
      <c r="C7" s="93" t="s">
        <v>150</v>
      </c>
    </row>
    <row r="8" spans="1:12" x14ac:dyDescent="0.4">
      <c r="A8" s="2" t="s">
        <v>34</v>
      </c>
      <c r="B8" s="92" t="s">
        <v>29</v>
      </c>
      <c r="C8" s="93" t="s">
        <v>35</v>
      </c>
    </row>
    <row r="9" spans="1:12" x14ac:dyDescent="0.4">
      <c r="A9" s="2" t="s">
        <v>28</v>
      </c>
      <c r="B9" s="92" t="s">
        <v>29</v>
      </c>
      <c r="C9" s="93" t="s">
        <v>83</v>
      </c>
    </row>
    <row r="10" spans="1:12" x14ac:dyDescent="0.4">
      <c r="A10" s="2" t="s">
        <v>68</v>
      </c>
      <c r="B10" s="92" t="s">
        <v>29</v>
      </c>
      <c r="C10" s="2" t="s">
        <v>62</v>
      </c>
    </row>
    <row r="11" spans="1:12" x14ac:dyDescent="0.4">
      <c r="A11" s="2" t="s">
        <v>67</v>
      </c>
      <c r="B11" s="92" t="s">
        <v>29</v>
      </c>
      <c r="C11" s="24">
        <f>K16</f>
        <v>86.233333333333334</v>
      </c>
    </row>
    <row r="13" spans="1:12" s="2" customFormat="1" x14ac:dyDescent="0.4">
      <c r="A13" s="67" t="s">
        <v>124</v>
      </c>
      <c r="B13" s="68" t="s">
        <v>2</v>
      </c>
      <c r="C13" s="68" t="s">
        <v>3</v>
      </c>
      <c r="D13" s="73" t="s">
        <v>74</v>
      </c>
      <c r="E13" s="70" t="s">
        <v>19</v>
      </c>
      <c r="F13" s="42"/>
      <c r="G13" s="75" t="s">
        <v>37</v>
      </c>
      <c r="H13" s="76"/>
      <c r="I13" s="76"/>
      <c r="J13" s="77"/>
      <c r="K13" s="65" t="s">
        <v>17</v>
      </c>
      <c r="L13" s="66" t="s">
        <v>61</v>
      </c>
    </row>
    <row r="14" spans="1:12" s="2" customFormat="1" x14ac:dyDescent="0.4">
      <c r="A14" s="67"/>
      <c r="B14" s="68"/>
      <c r="C14" s="96"/>
      <c r="D14" s="74"/>
      <c r="E14" s="71"/>
      <c r="F14" s="44"/>
      <c r="G14" s="41" t="s">
        <v>68</v>
      </c>
      <c r="H14" s="41" t="s">
        <v>93</v>
      </c>
      <c r="I14" s="41" t="s">
        <v>94</v>
      </c>
      <c r="J14" s="41" t="s">
        <v>96</v>
      </c>
      <c r="K14" s="65"/>
      <c r="L14" s="66"/>
    </row>
    <row r="15" spans="1:12" s="2" customFormat="1" x14ac:dyDescent="0.4">
      <c r="A15" s="3"/>
      <c r="B15" s="10"/>
      <c r="C15" s="10"/>
      <c r="D15" s="10"/>
      <c r="E15" s="10"/>
      <c r="F15" s="9"/>
      <c r="G15" s="12"/>
      <c r="H15" s="12"/>
      <c r="I15" s="12"/>
      <c r="J15" s="12"/>
      <c r="K15" s="8"/>
      <c r="L15" s="13"/>
    </row>
    <row r="16" spans="1:12" s="2" customFormat="1" x14ac:dyDescent="0.4">
      <c r="B16" s="34"/>
      <c r="C16" s="35" t="s">
        <v>65</v>
      </c>
      <c r="D16" s="36"/>
      <c r="E16" s="37">
        <f>E17+E21+E27+E43+E60+E65+E69</f>
        <v>1</v>
      </c>
      <c r="F16" s="37"/>
      <c r="G16" s="40">
        <f t="shared" ref="G16:J16" si="0">G17+G21+G27+G43+G60+G65+G69</f>
        <v>90.5</v>
      </c>
      <c r="H16" s="40">
        <f t="shared" si="0"/>
        <v>88</v>
      </c>
      <c r="I16" s="40"/>
      <c r="J16" s="40">
        <f t="shared" si="0"/>
        <v>75.7</v>
      </c>
      <c r="K16" s="40">
        <f>K17+K21+K27+K43+K60+K65+K69</f>
        <v>86.233333333333334</v>
      </c>
      <c r="L16" s="35"/>
    </row>
    <row r="17" spans="1:12" x14ac:dyDescent="0.4">
      <c r="B17" s="48" t="s">
        <v>66</v>
      </c>
      <c r="C17" s="49" t="s">
        <v>4</v>
      </c>
      <c r="D17" s="50"/>
      <c r="E17" s="51">
        <f>SUM(E18:E19)</f>
        <v>0.1</v>
      </c>
      <c r="F17" s="51"/>
      <c r="G17" s="54">
        <f t="shared" ref="G17:J17" si="1">SUM(G18:G20)</f>
        <v>6</v>
      </c>
      <c r="H17" s="54">
        <f t="shared" si="1"/>
        <v>6</v>
      </c>
      <c r="I17" s="54"/>
      <c r="J17" s="54">
        <f t="shared" si="1"/>
        <v>6</v>
      </c>
      <c r="K17" s="54">
        <f>SUM(K18:K20)</f>
        <v>6</v>
      </c>
      <c r="L17" s="98"/>
    </row>
    <row r="18" spans="1:12" s="158" customFormat="1" ht="30" customHeight="1" x14ac:dyDescent="0.4">
      <c r="A18" s="99" t="s">
        <v>102</v>
      </c>
      <c r="B18" s="156">
        <v>1</v>
      </c>
      <c r="C18" s="101" t="str">
        <f>VLOOKUP($A18,PERTANYAAN!$A$18:$E$71,3,0)</f>
        <v>Pengalaman di dalam Daniswara Group</v>
      </c>
      <c r="D18" s="101" t="str">
        <f>VLOOKUP($A18,PERTANYAAN!$A$18:$E$71,4,0)</f>
        <v>Apakah ada Pengalaman di Daniswara Group? Bagaimana pandangan anda terkait Daniswara Group?</v>
      </c>
      <c r="E18" s="46">
        <f>VLOOKUP($A18,PERTANYAAN!$A$18:$E$71,5,0)</f>
        <v>0.06</v>
      </c>
      <c r="F18" s="46"/>
      <c r="G18" s="159">
        <f>'HR (DIAN)'!M18</f>
        <v>6</v>
      </c>
      <c r="H18" s="159">
        <f>'USER1-DIAN'!M18</f>
        <v>6</v>
      </c>
      <c r="I18" s="159"/>
      <c r="J18" s="159">
        <f>'MANAGER-DIAN'!M18</f>
        <v>6</v>
      </c>
      <c r="K18" s="33">
        <f>AVERAGE(G18:J18)</f>
        <v>6</v>
      </c>
      <c r="L18" s="101"/>
    </row>
    <row r="19" spans="1:12" s="158" customFormat="1" ht="30" customHeight="1" x14ac:dyDescent="0.4">
      <c r="A19" s="99" t="s">
        <v>103</v>
      </c>
      <c r="B19" s="156">
        <f>B18+1</f>
        <v>2</v>
      </c>
      <c r="C19" s="101" t="str">
        <f>VLOOKUP($A19,PERTANYAAN!$A$18:$E$71,3,0)</f>
        <v>Pengalaman di luar Daniswara Group</v>
      </c>
      <c r="D19" s="101" t="str">
        <f>VLOOKUP($A19,PERTANYAAN!$A$18:$E$71,4,0)</f>
        <v>Jika tidak, apakah sudah ada pengalaman sejenis di luar Daniswara?</v>
      </c>
      <c r="E19" s="46">
        <f>VLOOKUP($A19,PERTANYAAN!$A$18:$E$71,5,0)</f>
        <v>0.04</v>
      </c>
      <c r="F19" s="46"/>
      <c r="G19" s="159">
        <f>'HR (DIAN)'!M19</f>
        <v>0</v>
      </c>
      <c r="H19" s="159">
        <f>'USER1-DIAN'!M19</f>
        <v>0</v>
      </c>
      <c r="I19" s="159"/>
      <c r="J19" s="159">
        <f>'MANAGER-DIAN'!M19</f>
        <v>0</v>
      </c>
      <c r="K19" s="33">
        <f t="shared" ref="K19" si="2">AVERAGE(G19:J19)</f>
        <v>0</v>
      </c>
      <c r="L19" s="101"/>
    </row>
    <row r="20" spans="1:12" x14ac:dyDescent="0.4">
      <c r="A20" s="92"/>
      <c r="B20" s="104"/>
      <c r="C20" s="103"/>
      <c r="D20" s="30"/>
      <c r="E20" s="17"/>
      <c r="F20" s="17"/>
      <c r="G20" s="102"/>
      <c r="H20" s="102"/>
      <c r="I20" s="102"/>
      <c r="J20" s="102"/>
      <c r="K20" s="16"/>
      <c r="L20" s="103"/>
    </row>
    <row r="21" spans="1:12" x14ac:dyDescent="0.4">
      <c r="A21" s="92"/>
      <c r="B21" s="48" t="s">
        <v>42</v>
      </c>
      <c r="C21" s="49" t="s">
        <v>9</v>
      </c>
      <c r="D21" s="50"/>
      <c r="E21" s="51">
        <f>SUM(E22:E25)</f>
        <v>0.05</v>
      </c>
      <c r="F21" s="51"/>
      <c r="G21" s="54">
        <f t="shared" ref="G21:J21" si="3">SUM(G22:G25)</f>
        <v>4</v>
      </c>
      <c r="H21" s="54">
        <f t="shared" si="3"/>
        <v>4</v>
      </c>
      <c r="I21" s="54"/>
      <c r="J21" s="54">
        <f t="shared" si="3"/>
        <v>1</v>
      </c>
      <c r="K21" s="54">
        <f>SUM(K22:K25)</f>
        <v>2.9999999999999996</v>
      </c>
      <c r="L21" s="98"/>
    </row>
    <row r="22" spans="1:12" s="158" customFormat="1" ht="30" customHeight="1" x14ac:dyDescent="0.4">
      <c r="A22" s="99" t="s">
        <v>104</v>
      </c>
      <c r="B22" s="156">
        <v>1</v>
      </c>
      <c r="C22" s="101" t="str">
        <f>VLOOKUP($A22,PERTANYAAN!$A$18:$E$71,3,0)</f>
        <v>Identitas (KTP &amp; KK)</v>
      </c>
      <c r="D22" s="101" t="str">
        <f>VLOOKUP($A22,PERTANYAAN!$A$18:$E$71,4,0)</f>
        <v>Apakah ada Identitas Diri KTP &amp; KK?</v>
      </c>
      <c r="E22" s="46">
        <f>VLOOKUP($A22,PERTANYAAN!$A$18:$E$71,5,0)</f>
        <v>0.01</v>
      </c>
      <c r="F22" s="46"/>
      <c r="G22" s="159">
        <f>'HR (DIAN)'!M22</f>
        <v>1</v>
      </c>
      <c r="H22" s="159">
        <f>'USER1-DIAN'!M22</f>
        <v>1</v>
      </c>
      <c r="I22" s="159"/>
      <c r="J22" s="159">
        <f>'MANAGER-DIAN'!M22</f>
        <v>1</v>
      </c>
      <c r="K22" s="33">
        <f t="shared" ref="K22:K25" si="4">AVERAGE(G22:J22)</f>
        <v>1</v>
      </c>
      <c r="L22" s="101"/>
    </row>
    <row r="23" spans="1:12" s="158" customFormat="1" ht="30" customHeight="1" x14ac:dyDescent="0.4">
      <c r="A23" s="99" t="s">
        <v>105</v>
      </c>
      <c r="B23" s="156">
        <f>B22+1</f>
        <v>2</v>
      </c>
      <c r="C23" s="101" t="str">
        <f>VLOOKUP($A23,PERTANYAAN!$A$18:$E$71,3,0)</f>
        <v>SIM A (utk jabatan di Divisi Operasi)</v>
      </c>
      <c r="D23" s="101" t="str">
        <f>VLOOKUP($A23,PERTANYAAN!$A$18:$E$71,4,0)</f>
        <v>Apakah sudah memiliki SIM A?</v>
      </c>
      <c r="E23" s="46">
        <f>VLOOKUP($A23,PERTANYAAN!$A$18:$E$71,5,0)</f>
        <v>0.02</v>
      </c>
      <c r="F23" s="46"/>
      <c r="G23" s="159">
        <f>'HR (DIAN)'!M23</f>
        <v>2</v>
      </c>
      <c r="H23" s="159">
        <f>'USER1-DIAN'!M23</f>
        <v>2</v>
      </c>
      <c r="I23" s="159"/>
      <c r="J23" s="159">
        <f>'MANAGER-DIAN'!M23</f>
        <v>0</v>
      </c>
      <c r="K23" s="33">
        <f t="shared" si="4"/>
        <v>1.3333333333333333</v>
      </c>
      <c r="L23" s="101"/>
    </row>
    <row r="24" spans="1:12" s="158" customFormat="1" ht="30" customHeight="1" x14ac:dyDescent="0.4">
      <c r="A24" s="99" t="s">
        <v>106</v>
      </c>
      <c r="B24" s="156">
        <f t="shared" ref="B24:B25" si="5">B23+1</f>
        <v>3</v>
      </c>
      <c r="C24" s="101" t="str">
        <f>VLOOKUP($A24,PERTANYAAN!$A$18:$E$71,3,0)</f>
        <v>SIM C</v>
      </c>
      <c r="D24" s="101" t="str">
        <f>VLOOKUP($A24,PERTANYAAN!$A$18:$E$71,4,0)</f>
        <v>Apakah sudah memiliki SIM C?</v>
      </c>
      <c r="E24" s="46">
        <f>VLOOKUP($A24,PERTANYAAN!$A$18:$E$71,5,0)</f>
        <v>0.01</v>
      </c>
      <c r="F24" s="46"/>
      <c r="G24" s="159">
        <f>'HR (DIAN)'!M24</f>
        <v>1</v>
      </c>
      <c r="H24" s="159">
        <f>'USER1-DIAN'!M24</f>
        <v>1</v>
      </c>
      <c r="I24" s="159"/>
      <c r="J24" s="159">
        <f>'MANAGER-DIAN'!M24</f>
        <v>0</v>
      </c>
      <c r="K24" s="33">
        <f t="shared" si="4"/>
        <v>0.66666666666666663</v>
      </c>
      <c r="L24" s="101"/>
    </row>
    <row r="25" spans="1:12" s="158" customFormat="1" ht="30" customHeight="1" x14ac:dyDescent="0.4">
      <c r="A25" s="99" t="s">
        <v>107</v>
      </c>
      <c r="B25" s="156">
        <f t="shared" si="5"/>
        <v>4</v>
      </c>
      <c r="C25" s="101" t="str">
        <f>VLOOKUP($A25,PERTANYAAN!$A$18:$E$71,3,0)</f>
        <v>NPWP</v>
      </c>
      <c r="D25" s="101" t="str">
        <f>VLOOKUP($A25,PERTANYAAN!$A$18:$E$71,4,0)</f>
        <v>Apakah sudah Memiliki NPWP?</v>
      </c>
      <c r="E25" s="46">
        <f>VLOOKUP($A25,PERTANYAAN!$A$18:$E$71,5,0)</f>
        <v>0.01</v>
      </c>
      <c r="F25" s="46"/>
      <c r="G25" s="159">
        <f>'HR (DIAN)'!M25</f>
        <v>0</v>
      </c>
      <c r="H25" s="159">
        <f>'USER1-DIAN'!M25</f>
        <v>0</v>
      </c>
      <c r="I25" s="159"/>
      <c r="J25" s="159">
        <f>'MANAGER-DIAN'!M25</f>
        <v>0</v>
      </c>
      <c r="K25" s="33">
        <f t="shared" si="4"/>
        <v>0</v>
      </c>
      <c r="L25" s="101"/>
    </row>
    <row r="26" spans="1:12" x14ac:dyDescent="0.4">
      <c r="A26" s="92"/>
      <c r="B26" s="104"/>
      <c r="C26" s="103"/>
      <c r="D26" s="30"/>
      <c r="E26" s="17"/>
      <c r="F26" s="17"/>
      <c r="G26" s="102"/>
      <c r="H26" s="102"/>
      <c r="I26" s="102"/>
      <c r="J26" s="102"/>
      <c r="K26" s="16"/>
      <c r="L26" s="103"/>
    </row>
    <row r="27" spans="1:12" x14ac:dyDescent="0.4">
      <c r="A27" s="92"/>
      <c r="B27" s="48" t="s">
        <v>97</v>
      </c>
      <c r="C27" s="49" t="s">
        <v>21</v>
      </c>
      <c r="D27" s="56"/>
      <c r="E27" s="51">
        <f>E28</f>
        <v>0.35000000000000003</v>
      </c>
      <c r="F27" s="57"/>
      <c r="G27" s="54">
        <f t="shared" ref="G27:J27" si="6">G28</f>
        <v>33</v>
      </c>
      <c r="H27" s="54">
        <f t="shared" si="6"/>
        <v>35</v>
      </c>
      <c r="I27" s="54"/>
      <c r="J27" s="54">
        <f t="shared" si="6"/>
        <v>33</v>
      </c>
      <c r="K27" s="54">
        <f>K28</f>
        <v>33.666666666666664</v>
      </c>
      <c r="L27" s="98"/>
    </row>
    <row r="28" spans="1:12" x14ac:dyDescent="0.4">
      <c r="A28" s="99" t="s">
        <v>108</v>
      </c>
      <c r="B28" s="100">
        <v>1</v>
      </c>
      <c r="C28" s="101" t="str">
        <f>VLOOKUP($A28,PERTANYAAN!$A$18:$E$71,3,0)</f>
        <v>Operasi / Logistik</v>
      </c>
      <c r="D28" s="30"/>
      <c r="E28" s="46">
        <f>VLOOKUP($A28,PERTANYAAN!$A$18:$E$71,5,0)</f>
        <v>0.35000000000000003</v>
      </c>
      <c r="F28" s="17"/>
      <c r="G28" s="16">
        <f t="shared" ref="G28:J28" si="7">SUM(G29:G33)</f>
        <v>33</v>
      </c>
      <c r="H28" s="16">
        <f t="shared" si="7"/>
        <v>35</v>
      </c>
      <c r="I28" s="16"/>
      <c r="J28" s="16">
        <f t="shared" si="7"/>
        <v>33</v>
      </c>
      <c r="K28" s="16">
        <f>SUM(K29:K33)</f>
        <v>33.666666666666664</v>
      </c>
      <c r="L28" s="103"/>
    </row>
    <row r="29" spans="1:12" s="158" customFormat="1" ht="30" customHeight="1" x14ac:dyDescent="0.4">
      <c r="A29" s="99" t="s">
        <v>109</v>
      </c>
      <c r="B29" s="156" t="s">
        <v>6</v>
      </c>
      <c r="C29" s="101" t="str">
        <f>VLOOKUP($A29,PERTANYAAN!$A$18:$E$71,3,0)</f>
        <v>Skill Mengemudi</v>
      </c>
      <c r="D29" s="101" t="str">
        <f>VLOOKUP($A29,PERTANYAAN!$A$18:$E$71,4,0)</f>
        <v>Coba ceritakan pengalaman / keahlian dalam mengemudi mobil angkut/logistik?</v>
      </c>
      <c r="E29" s="46">
        <f>VLOOKUP($A29,PERTANYAAN!$A$18:$E$71,5,0)</f>
        <v>0.15</v>
      </c>
      <c r="F29" s="46"/>
      <c r="G29" s="159">
        <f>'HR (DIAN)'!M29</f>
        <v>15</v>
      </c>
      <c r="H29" s="159">
        <f>'USER1-DIAN'!M29</f>
        <v>15</v>
      </c>
      <c r="I29" s="159"/>
      <c r="J29" s="159">
        <f>'MANAGER-DIAN'!M29</f>
        <v>15</v>
      </c>
      <c r="K29" s="33">
        <f t="shared" ref="K29:K32" si="8">AVERAGE(G29:J29)</f>
        <v>15</v>
      </c>
      <c r="L29" s="101"/>
    </row>
    <row r="30" spans="1:12" s="158" customFormat="1" ht="30" customHeight="1" x14ac:dyDescent="0.4">
      <c r="A30" s="99" t="s">
        <v>110</v>
      </c>
      <c r="B30" s="156" t="s">
        <v>6</v>
      </c>
      <c r="C30" s="101" t="str">
        <f>VLOOKUP($A30,PERTANYAAN!$A$18:$E$71,3,0)</f>
        <v>Flow Administrasi Logistik</v>
      </c>
      <c r="D30" s="101" t="str">
        <f>VLOOKUP($A30,PERTANYAAN!$A$18:$E$71,4,0)</f>
        <v>Coba ceritakan yang anda ketahui tentang alur administrasi logistik? Dan kaitannya dengan Ms. Office</v>
      </c>
      <c r="E30" s="46">
        <f>VLOOKUP($A30,PERTANYAAN!$A$18:$E$71,5,0)</f>
        <v>0.1</v>
      </c>
      <c r="F30" s="46"/>
      <c r="G30" s="159">
        <f>'HR (DIAN)'!M30</f>
        <v>8.0000000000000018</v>
      </c>
      <c r="H30" s="159">
        <f>'USER1-DIAN'!M30</f>
        <v>10</v>
      </c>
      <c r="I30" s="159"/>
      <c r="J30" s="159">
        <f>'MANAGER-DIAN'!M30</f>
        <v>8.0000000000000018</v>
      </c>
      <c r="K30" s="33">
        <f t="shared" si="8"/>
        <v>8.6666666666666661</v>
      </c>
      <c r="L30" s="101"/>
    </row>
    <row r="31" spans="1:12" s="158" customFormat="1" ht="30" customHeight="1" x14ac:dyDescent="0.4">
      <c r="A31" s="99" t="s">
        <v>111</v>
      </c>
      <c r="B31" s="156" t="s">
        <v>6</v>
      </c>
      <c r="C31" s="101" t="str">
        <f>VLOOKUP($A31,PERTANYAAN!$A$18:$E$71,3,0)</f>
        <v>Pengetahuan terkait logistik</v>
      </c>
      <c r="D31" s="101" t="str">
        <f>VLOOKUP($A31,PERTANYAAN!$A$18:$E$71,4,0)</f>
        <v>Ceritakan yang anda ketahui terkait dengan logistik?</v>
      </c>
      <c r="E31" s="46">
        <f>VLOOKUP($A31,PERTANYAAN!$A$18:$E$71,5,0)</f>
        <v>2.5000000000000001E-2</v>
      </c>
      <c r="F31" s="46"/>
      <c r="G31" s="159">
        <f>'HR (DIAN)'!M31</f>
        <v>2.5</v>
      </c>
      <c r="H31" s="159">
        <f>'USER1-DIAN'!M31</f>
        <v>2.5</v>
      </c>
      <c r="I31" s="159"/>
      <c r="J31" s="159">
        <f>'MANAGER-DIAN'!M31</f>
        <v>2.5</v>
      </c>
      <c r="K31" s="33">
        <f t="shared" si="8"/>
        <v>2.5</v>
      </c>
      <c r="L31" s="101"/>
    </row>
    <row r="32" spans="1:12" s="158" customFormat="1" ht="30" customHeight="1" x14ac:dyDescent="0.4">
      <c r="A32" s="99" t="s">
        <v>112</v>
      </c>
      <c r="B32" s="156" t="s">
        <v>6</v>
      </c>
      <c r="C32" s="101" t="str">
        <f>VLOOKUP($A32,PERTANYAAN!$A$18:$E$71,3,0)</f>
        <v>Pengalaman di Bongkar Muat</v>
      </c>
      <c r="D32" s="101" t="str">
        <f>VLOOKUP($A32,PERTANYAAN!$A$18:$E$71,4,0)</f>
        <v>Apakah memiliki pengalaman terkait bongkar muat?sedalam apa?</v>
      </c>
      <c r="E32" s="46">
        <f>VLOOKUP($A32,PERTANYAAN!$A$18:$E$71,5,0)</f>
        <v>7.4999999999999997E-2</v>
      </c>
      <c r="F32" s="46"/>
      <c r="G32" s="159">
        <f>'HR (DIAN)'!M32</f>
        <v>7.5</v>
      </c>
      <c r="H32" s="159">
        <f>'USER1-DIAN'!M32</f>
        <v>7.5</v>
      </c>
      <c r="I32" s="159"/>
      <c r="J32" s="159">
        <f>'MANAGER-DIAN'!M32</f>
        <v>7.5</v>
      </c>
      <c r="K32" s="33">
        <f t="shared" si="8"/>
        <v>7.5</v>
      </c>
      <c r="L32" s="101"/>
    </row>
    <row r="33" spans="1:12" x14ac:dyDescent="0.4">
      <c r="A33" s="92"/>
      <c r="B33" s="100"/>
      <c r="C33" s="103"/>
      <c r="D33" s="30"/>
      <c r="E33" s="17"/>
      <c r="F33" s="17"/>
      <c r="G33" s="102"/>
      <c r="H33" s="102"/>
      <c r="I33" s="102"/>
      <c r="J33" s="102"/>
      <c r="K33" s="16"/>
      <c r="L33" s="103"/>
    </row>
    <row r="34" spans="1:12" hidden="1" outlineLevel="1" x14ac:dyDescent="0.4">
      <c r="A34" s="92"/>
      <c r="B34" s="100">
        <f>B28+1</f>
        <v>2</v>
      </c>
      <c r="C34" s="103" t="s">
        <v>22</v>
      </c>
      <c r="D34" s="30"/>
      <c r="E34" s="17">
        <f>SUM(E35:E37)</f>
        <v>0.35</v>
      </c>
      <c r="F34" s="17"/>
      <c r="G34" s="102"/>
      <c r="H34" s="102"/>
      <c r="I34" s="102"/>
      <c r="J34" s="102"/>
      <c r="K34" s="16"/>
      <c r="L34" s="103"/>
    </row>
    <row r="35" spans="1:12" hidden="1" outlineLevel="1" x14ac:dyDescent="0.4">
      <c r="A35" s="92"/>
      <c r="B35" s="100" t="s">
        <v>6</v>
      </c>
      <c r="C35" s="103" t="s">
        <v>44</v>
      </c>
      <c r="D35" s="30"/>
      <c r="E35" s="17">
        <v>0.15</v>
      </c>
      <c r="F35" s="17"/>
      <c r="G35" s="102"/>
      <c r="H35" s="102"/>
      <c r="I35" s="102"/>
      <c r="J35" s="102"/>
      <c r="K35" s="16"/>
      <c r="L35" s="103"/>
    </row>
    <row r="36" spans="1:12" hidden="1" outlineLevel="1" x14ac:dyDescent="0.4">
      <c r="A36" s="92"/>
      <c r="B36" s="100" t="s">
        <v>6</v>
      </c>
      <c r="C36" s="103" t="s">
        <v>50</v>
      </c>
      <c r="D36" s="30"/>
      <c r="E36" s="17">
        <v>0.2</v>
      </c>
      <c r="F36" s="17"/>
      <c r="G36" s="102"/>
      <c r="H36" s="102"/>
      <c r="I36" s="102"/>
      <c r="J36" s="102"/>
      <c r="K36" s="16"/>
      <c r="L36" s="103"/>
    </row>
    <row r="37" spans="1:12" hidden="1" outlineLevel="1" x14ac:dyDescent="0.4">
      <c r="A37" s="92"/>
      <c r="B37" s="100"/>
      <c r="C37" s="103"/>
      <c r="D37" s="30"/>
      <c r="E37" s="17"/>
      <c r="F37" s="17"/>
      <c r="G37" s="102"/>
      <c r="H37" s="102"/>
      <c r="I37" s="102"/>
      <c r="J37" s="102"/>
      <c r="K37" s="16"/>
      <c r="L37" s="103"/>
    </row>
    <row r="38" spans="1:12" hidden="1" outlineLevel="1" x14ac:dyDescent="0.4">
      <c r="A38" s="92"/>
      <c r="B38" s="104">
        <v>3</v>
      </c>
      <c r="C38" s="103" t="s">
        <v>23</v>
      </c>
      <c r="D38" s="30"/>
      <c r="E38" s="17"/>
      <c r="F38" s="17"/>
      <c r="G38" s="102"/>
      <c r="H38" s="102"/>
      <c r="I38" s="102"/>
      <c r="J38" s="102"/>
      <c r="K38" s="16"/>
      <c r="L38" s="103"/>
    </row>
    <row r="39" spans="1:12" hidden="1" outlineLevel="1" x14ac:dyDescent="0.4">
      <c r="A39" s="92"/>
      <c r="B39" s="100" t="s">
        <v>6</v>
      </c>
      <c r="C39" s="103" t="s">
        <v>52</v>
      </c>
      <c r="D39" s="30"/>
      <c r="E39" s="17"/>
      <c r="F39" s="17"/>
      <c r="G39" s="102"/>
      <c r="H39" s="102"/>
      <c r="I39" s="102"/>
      <c r="J39" s="102"/>
      <c r="K39" s="16"/>
      <c r="L39" s="103"/>
    </row>
    <row r="40" spans="1:12" hidden="1" outlineLevel="1" x14ac:dyDescent="0.4">
      <c r="A40" s="92"/>
      <c r="B40" s="100" t="s">
        <v>6</v>
      </c>
      <c r="C40" s="103" t="s">
        <v>53</v>
      </c>
      <c r="D40" s="30"/>
      <c r="E40" s="17"/>
      <c r="F40" s="17"/>
      <c r="G40" s="102"/>
      <c r="H40" s="102"/>
      <c r="I40" s="102"/>
      <c r="J40" s="102"/>
      <c r="K40" s="16"/>
      <c r="L40" s="103"/>
    </row>
    <row r="41" spans="1:12" hidden="1" outlineLevel="1" x14ac:dyDescent="0.4">
      <c r="A41" s="92"/>
      <c r="B41" s="100" t="s">
        <v>6</v>
      </c>
      <c r="C41" s="103"/>
      <c r="D41" s="30"/>
      <c r="E41" s="17"/>
      <c r="F41" s="17"/>
      <c r="G41" s="102"/>
      <c r="H41" s="102"/>
      <c r="I41" s="102"/>
      <c r="J41" s="102"/>
      <c r="K41" s="16"/>
      <c r="L41" s="103"/>
    </row>
    <row r="42" spans="1:12" hidden="1" outlineLevel="1" x14ac:dyDescent="0.4">
      <c r="A42" s="92"/>
      <c r="B42" s="104"/>
      <c r="C42" s="103"/>
      <c r="D42" s="30"/>
      <c r="E42" s="17"/>
      <c r="F42" s="17"/>
      <c r="G42" s="102"/>
      <c r="H42" s="102"/>
      <c r="I42" s="102"/>
      <c r="J42" s="102"/>
      <c r="K42" s="16"/>
      <c r="L42" s="103"/>
    </row>
    <row r="43" spans="1:12" s="2" customFormat="1" collapsed="1" x14ac:dyDescent="0.4">
      <c r="A43" s="3"/>
      <c r="B43" s="48" t="s">
        <v>98</v>
      </c>
      <c r="C43" s="49" t="s">
        <v>24</v>
      </c>
      <c r="D43" s="50"/>
      <c r="E43" s="51">
        <f>E44</f>
        <v>0.25</v>
      </c>
      <c r="F43" s="51"/>
      <c r="G43" s="54">
        <f t="shared" ref="G43:J43" si="9">G44</f>
        <v>24</v>
      </c>
      <c r="H43" s="54">
        <f t="shared" si="9"/>
        <v>24</v>
      </c>
      <c r="I43" s="54"/>
      <c r="J43" s="54">
        <f t="shared" si="9"/>
        <v>19</v>
      </c>
      <c r="K43" s="54">
        <f>K44</f>
        <v>22.333333333333336</v>
      </c>
      <c r="L43" s="49"/>
    </row>
    <row r="44" spans="1:12" x14ac:dyDescent="0.4">
      <c r="A44" s="92" t="s">
        <v>113</v>
      </c>
      <c r="B44" s="104">
        <v>1</v>
      </c>
      <c r="C44" s="101" t="str">
        <f>VLOOKUP($A44,PERTANYAAN!$A$18:$E$71,3,0)</f>
        <v>Staff</v>
      </c>
      <c r="D44" s="30"/>
      <c r="E44" s="17">
        <f>SUM(E45:E49)</f>
        <v>0.25</v>
      </c>
      <c r="F44" s="17"/>
      <c r="G44" s="16">
        <f t="shared" ref="G44:J44" si="10">SUM(G45:G48)</f>
        <v>24</v>
      </c>
      <c r="H44" s="16">
        <f t="shared" si="10"/>
        <v>24</v>
      </c>
      <c r="I44" s="16"/>
      <c r="J44" s="16">
        <f t="shared" si="10"/>
        <v>19</v>
      </c>
      <c r="K44" s="16">
        <f>SUM(K45:K48)</f>
        <v>22.333333333333336</v>
      </c>
      <c r="L44" s="103"/>
    </row>
    <row r="45" spans="1:12" s="158" customFormat="1" ht="30" customHeight="1" x14ac:dyDescent="0.4">
      <c r="A45" s="99" t="s">
        <v>114</v>
      </c>
      <c r="B45" s="156" t="s">
        <v>6</v>
      </c>
      <c r="C45" s="101" t="str">
        <f>VLOOKUP($A45,PERTANYAAN!$A$18:$E$71,3,0)</f>
        <v>Kepemimpinan</v>
      </c>
      <c r="D45" s="101" t="str">
        <f>VLOOKUP($A45,PERTANYAAN!$A$18:$E$71,4,0)</f>
        <v>Jika terjadi suatu diskusi dalam group/kelompok yang belum menemukan titik temu, apa yang akan anda lakukan?</v>
      </c>
      <c r="E45" s="46">
        <f>VLOOKUP($A45,PERTANYAAN!$A$18:$E$71,5,0)</f>
        <v>2.5000000000000001E-2</v>
      </c>
      <c r="F45" s="46"/>
      <c r="G45" s="159">
        <f>'HR (DIAN)'!M45</f>
        <v>2.5</v>
      </c>
      <c r="H45" s="159">
        <f>'USER1-DIAN'!M45</f>
        <v>2.5</v>
      </c>
      <c r="I45" s="159"/>
      <c r="J45" s="159">
        <f>'MANAGER-DIAN'!M45</f>
        <v>2.0000000000000004</v>
      </c>
      <c r="K45" s="33">
        <f t="shared" ref="K45:K48" si="11">AVERAGE(G45:J45)</f>
        <v>2.3333333333333335</v>
      </c>
      <c r="L45" s="101"/>
    </row>
    <row r="46" spans="1:12" s="158" customFormat="1" ht="30" customHeight="1" x14ac:dyDescent="0.4">
      <c r="A46" s="99" t="s">
        <v>115</v>
      </c>
      <c r="B46" s="156" t="s">
        <v>6</v>
      </c>
      <c r="C46" s="101" t="str">
        <f>VLOOKUP($A46,PERTANYAAN!$A$18:$E$71,3,0)</f>
        <v>Komunikasi</v>
      </c>
      <c r="D46" s="101" t="str">
        <f>VLOOKUP($A46,PERTANYAAN!$A$18:$E$71,4,0)</f>
        <v>Bagaimana hubungan kerjasama antar sesama pegawai / organisasi / kelompok?(jika memiliki pengalaman kerja)</v>
      </c>
      <c r="E46" s="46">
        <f>VLOOKUP($A46,PERTANYAAN!$A$18:$E$71,5,0)</f>
        <v>0.1</v>
      </c>
      <c r="F46" s="46"/>
      <c r="G46" s="159">
        <f>'HR (DIAN)'!M46</f>
        <v>10</v>
      </c>
      <c r="H46" s="159">
        <f>'USER1-DIAN'!M46</f>
        <v>10</v>
      </c>
      <c r="I46" s="159"/>
      <c r="J46" s="159">
        <f>'MANAGER-DIAN'!M46</f>
        <v>8.0000000000000018</v>
      </c>
      <c r="K46" s="33">
        <f t="shared" si="11"/>
        <v>9.3333333333333339</v>
      </c>
      <c r="L46" s="101"/>
    </row>
    <row r="47" spans="1:12" s="158" customFormat="1" ht="30" customHeight="1" x14ac:dyDescent="0.4">
      <c r="A47" s="99" t="s">
        <v>116</v>
      </c>
      <c r="B47" s="156" t="s">
        <v>6</v>
      </c>
      <c r="C47" s="101" t="str">
        <f>VLOOKUP($A47,PERTANYAAN!$A$18:$E$71,3,0)</f>
        <v>Patuh pada Peraturan / Commitment</v>
      </c>
      <c r="D47" s="101" t="str">
        <f>VLOOKUP($A47,PERTANYAAN!$A$18:$E$71,4,0)</f>
        <v>Bagaimana pandangan anda terkait perusahaan dan aturan yang dapat berubah ubah sesuai arah perusahaan?</v>
      </c>
      <c r="E47" s="46">
        <f>VLOOKUP($A47,PERTANYAAN!$A$18:$E$71,5,0)</f>
        <v>0.05</v>
      </c>
      <c r="F47" s="46"/>
      <c r="G47" s="159">
        <f>'HR (DIAN)'!M47</f>
        <v>4.0000000000000009</v>
      </c>
      <c r="H47" s="159">
        <f>'USER1-DIAN'!M47</f>
        <v>4.0000000000000009</v>
      </c>
      <c r="I47" s="159"/>
      <c r="J47" s="159">
        <f>'MANAGER-DIAN'!M47</f>
        <v>3</v>
      </c>
      <c r="K47" s="33">
        <f t="shared" si="11"/>
        <v>3.6666666666666674</v>
      </c>
      <c r="L47" s="101"/>
    </row>
    <row r="48" spans="1:12" s="158" customFormat="1" ht="30" customHeight="1" x14ac:dyDescent="0.4">
      <c r="A48" s="99" t="s">
        <v>117</v>
      </c>
      <c r="B48" s="156" t="s">
        <v>6</v>
      </c>
      <c r="C48" s="101" t="str">
        <f>VLOOKUP($A48,PERTANYAAN!$A$18:$E$71,3,0)</f>
        <v>Determinasi thd tekanan</v>
      </c>
      <c r="D48" s="101" t="str">
        <f>VLOOKUP($A48,PERTANYAAN!$A$18:$E$71,4,0)</f>
        <v>Bagaimana pandangan anda jika anda dituntut pada pekerjaan diluar dari waktu normal dalam bekerja?</v>
      </c>
      <c r="E48" s="46">
        <f>VLOOKUP($A48,PERTANYAAN!$A$18:$E$71,5,0)</f>
        <v>7.4999999999999997E-2</v>
      </c>
      <c r="F48" s="46"/>
      <c r="G48" s="159">
        <f>'HR (DIAN)'!M48</f>
        <v>7.5</v>
      </c>
      <c r="H48" s="159">
        <f>'USER1-DIAN'!M48</f>
        <v>7.5</v>
      </c>
      <c r="I48" s="159"/>
      <c r="J48" s="159">
        <f>'MANAGER-DIAN'!M48</f>
        <v>6</v>
      </c>
      <c r="K48" s="33">
        <f t="shared" si="11"/>
        <v>7</v>
      </c>
      <c r="L48" s="101"/>
    </row>
    <row r="49" spans="1:12" x14ac:dyDescent="0.4">
      <c r="A49" s="92"/>
      <c r="B49" s="100"/>
      <c r="C49" s="103"/>
      <c r="D49" s="30"/>
      <c r="E49" s="17"/>
      <c r="F49" s="17"/>
      <c r="G49" s="102"/>
      <c r="H49" s="102"/>
      <c r="I49" s="102"/>
      <c r="J49" s="102"/>
      <c r="K49" s="16"/>
      <c r="L49" s="103"/>
    </row>
    <row r="50" spans="1:12" hidden="1" outlineLevel="1" x14ac:dyDescent="0.4">
      <c r="A50" s="92"/>
      <c r="B50" s="104">
        <v>2</v>
      </c>
      <c r="C50" s="103" t="s">
        <v>26</v>
      </c>
      <c r="D50" s="30"/>
      <c r="E50" s="17"/>
      <c r="F50" s="17"/>
      <c r="G50" s="102"/>
      <c r="H50" s="102"/>
      <c r="I50" s="102"/>
      <c r="J50" s="102"/>
      <c r="K50" s="16"/>
      <c r="L50" s="103"/>
    </row>
    <row r="51" spans="1:12" hidden="1" outlineLevel="1" x14ac:dyDescent="0.4">
      <c r="A51" s="92"/>
      <c r="B51" s="100" t="s">
        <v>6</v>
      </c>
      <c r="C51" s="103" t="s">
        <v>54</v>
      </c>
      <c r="D51" s="30"/>
      <c r="E51" s="17"/>
      <c r="F51" s="17"/>
      <c r="G51" s="102"/>
      <c r="H51" s="102"/>
      <c r="I51" s="102"/>
      <c r="J51" s="102"/>
      <c r="K51" s="16"/>
      <c r="L51" s="103"/>
    </row>
    <row r="52" spans="1:12" hidden="1" outlineLevel="1" x14ac:dyDescent="0.4">
      <c r="A52" s="92"/>
      <c r="B52" s="100" t="s">
        <v>6</v>
      </c>
      <c r="C52" s="103" t="s">
        <v>55</v>
      </c>
      <c r="D52" s="30"/>
      <c r="E52" s="17"/>
      <c r="F52" s="17"/>
      <c r="G52" s="102"/>
      <c r="H52" s="102"/>
      <c r="I52" s="102"/>
      <c r="J52" s="102"/>
      <c r="K52" s="16"/>
      <c r="L52" s="103"/>
    </row>
    <row r="53" spans="1:12" hidden="1" outlineLevel="1" x14ac:dyDescent="0.4">
      <c r="A53" s="92"/>
      <c r="B53" s="100" t="s">
        <v>6</v>
      </c>
      <c r="C53" s="103" t="s">
        <v>56</v>
      </c>
      <c r="D53" s="30"/>
      <c r="E53" s="17"/>
      <c r="F53" s="17"/>
      <c r="G53" s="102"/>
      <c r="H53" s="102"/>
      <c r="I53" s="102"/>
      <c r="J53" s="102"/>
      <c r="K53" s="16"/>
      <c r="L53" s="103"/>
    </row>
    <row r="54" spans="1:12" hidden="1" outlineLevel="1" x14ac:dyDescent="0.4">
      <c r="A54" s="92"/>
      <c r="B54" s="100"/>
      <c r="C54" s="103"/>
      <c r="D54" s="30"/>
      <c r="E54" s="17"/>
      <c r="F54" s="17"/>
      <c r="G54" s="102"/>
      <c r="H54" s="102"/>
      <c r="I54" s="102"/>
      <c r="J54" s="102"/>
      <c r="K54" s="16"/>
      <c r="L54" s="103"/>
    </row>
    <row r="55" spans="1:12" hidden="1" outlineLevel="1" x14ac:dyDescent="0.4">
      <c r="A55" s="92"/>
      <c r="B55" s="104">
        <v>3</v>
      </c>
      <c r="C55" s="103" t="s">
        <v>27</v>
      </c>
      <c r="D55" s="30"/>
      <c r="E55" s="17"/>
      <c r="F55" s="17"/>
      <c r="G55" s="102"/>
      <c r="H55" s="102"/>
      <c r="I55" s="102"/>
      <c r="J55" s="102"/>
      <c r="K55" s="16"/>
      <c r="L55" s="103"/>
    </row>
    <row r="56" spans="1:12" hidden="1" outlineLevel="1" x14ac:dyDescent="0.4">
      <c r="A56" s="92"/>
      <c r="B56" s="100" t="s">
        <v>6</v>
      </c>
      <c r="C56" s="103" t="s">
        <v>54</v>
      </c>
      <c r="D56" s="30"/>
      <c r="E56" s="17"/>
      <c r="F56" s="17"/>
      <c r="G56" s="102"/>
      <c r="H56" s="102"/>
      <c r="I56" s="102"/>
      <c r="J56" s="102"/>
      <c r="K56" s="16"/>
      <c r="L56" s="103"/>
    </row>
    <row r="57" spans="1:12" hidden="1" outlineLevel="1" x14ac:dyDescent="0.4">
      <c r="A57" s="92"/>
      <c r="B57" s="100" t="s">
        <v>6</v>
      </c>
      <c r="C57" s="103" t="s">
        <v>56</v>
      </c>
      <c r="D57" s="30"/>
      <c r="E57" s="17"/>
      <c r="F57" s="17"/>
      <c r="G57" s="102"/>
      <c r="H57" s="102"/>
      <c r="I57" s="102"/>
      <c r="J57" s="102"/>
      <c r="K57" s="16"/>
      <c r="L57" s="103"/>
    </row>
    <row r="58" spans="1:12" hidden="1" outlineLevel="1" x14ac:dyDescent="0.4">
      <c r="A58" s="92"/>
      <c r="B58" s="100" t="s">
        <v>6</v>
      </c>
      <c r="C58" s="103" t="s">
        <v>57</v>
      </c>
      <c r="D58" s="30"/>
      <c r="E58" s="17"/>
      <c r="F58" s="17"/>
      <c r="G58" s="102"/>
      <c r="H58" s="102"/>
      <c r="I58" s="102"/>
      <c r="J58" s="102"/>
      <c r="K58" s="16"/>
      <c r="L58" s="103"/>
    </row>
    <row r="59" spans="1:12" hidden="1" outlineLevel="1" x14ac:dyDescent="0.4">
      <c r="A59" s="92"/>
      <c r="B59" s="104"/>
      <c r="C59" s="103"/>
      <c r="D59" s="30"/>
      <c r="E59" s="17"/>
      <c r="F59" s="17"/>
      <c r="G59" s="102"/>
      <c r="H59" s="102"/>
      <c r="I59" s="102"/>
      <c r="J59" s="102"/>
      <c r="K59" s="16"/>
      <c r="L59" s="103"/>
    </row>
    <row r="60" spans="1:12" s="2" customFormat="1" collapsed="1" x14ac:dyDescent="0.4">
      <c r="A60" s="3"/>
      <c r="B60" s="48" t="s">
        <v>99</v>
      </c>
      <c r="C60" s="49" t="s">
        <v>46</v>
      </c>
      <c r="D60" s="50"/>
      <c r="E60" s="51">
        <f>SUM(E61:E64)</f>
        <v>0.15</v>
      </c>
      <c r="F60" s="51"/>
      <c r="G60" s="54">
        <f t="shared" ref="G60:J60" si="12">SUM(G61:G64)</f>
        <v>13.5</v>
      </c>
      <c r="H60" s="54">
        <f t="shared" si="12"/>
        <v>12</v>
      </c>
      <c r="I60" s="54"/>
      <c r="J60" s="54">
        <f t="shared" si="12"/>
        <v>14.5</v>
      </c>
      <c r="K60" s="54">
        <f>SUM(K61:K64)</f>
        <v>13.333333333333334</v>
      </c>
      <c r="L60" s="49"/>
    </row>
    <row r="61" spans="1:12" s="158" customFormat="1" ht="30" customHeight="1" x14ac:dyDescent="0.4">
      <c r="A61" s="99" t="s">
        <v>118</v>
      </c>
      <c r="B61" s="156" t="s">
        <v>6</v>
      </c>
      <c r="C61" s="101" t="str">
        <f>VLOOKUP($A61,PERTANYAAN!$A$18:$E$71,3,0)</f>
        <v>Antusiasme / Keinginan bergabung</v>
      </c>
      <c r="D61" s="101" t="str">
        <f>VLOOKUP($A61,PERTANYAAN!$A$18:$E$71,4,0)</f>
        <v>Apa yang anda pikirkan setelah mendengar / mengetahui Daniswara membutuhkan personil baru di posisi ini?</v>
      </c>
      <c r="E61" s="46">
        <f>VLOOKUP($A61,PERTANYAAN!$A$18:$E$71,5,0)</f>
        <v>7.4999999999999997E-2</v>
      </c>
      <c r="F61" s="46"/>
      <c r="G61" s="159">
        <f>'HR (DIAN)'!M61</f>
        <v>6</v>
      </c>
      <c r="H61" s="159">
        <f>'USER1-DIAN'!M61</f>
        <v>6</v>
      </c>
      <c r="I61" s="159"/>
      <c r="J61" s="159">
        <f>'MANAGER-DIAN'!M61</f>
        <v>7.5</v>
      </c>
      <c r="K61" s="33">
        <f t="shared" ref="K61:K63" si="13">AVERAGE(G61:J61)</f>
        <v>6.5</v>
      </c>
      <c r="L61" s="101"/>
    </row>
    <row r="62" spans="1:12" s="158" customFormat="1" ht="30" customHeight="1" x14ac:dyDescent="0.4">
      <c r="A62" s="99" t="s">
        <v>119</v>
      </c>
      <c r="B62" s="156" t="s">
        <v>6</v>
      </c>
      <c r="C62" s="101" t="str">
        <f>VLOOKUP($A62,PERTANYAAN!$A$18:$E$71,3,0)</f>
        <v>Inisiatif</v>
      </c>
      <c r="D62" s="101" t="str">
        <f>VLOOKUP($A62,PERTANYAAN!$A$18:$E$71,4,0)</f>
        <v>Jika ada hal-hal yang kiranya belum diatur oleh perusahaan atau belum dapat arahan oleh atasan, apa yang biasanya anda lakukan?</v>
      </c>
      <c r="E62" s="46">
        <f>VLOOKUP($A62,PERTANYAAN!$A$18:$E$71,5,0)</f>
        <v>0.05</v>
      </c>
      <c r="F62" s="46"/>
      <c r="G62" s="159">
        <f>'HR (DIAN)'!M62</f>
        <v>5</v>
      </c>
      <c r="H62" s="159">
        <f>'USER1-DIAN'!M62</f>
        <v>4.0000000000000009</v>
      </c>
      <c r="I62" s="159"/>
      <c r="J62" s="159">
        <f>'MANAGER-DIAN'!M62</f>
        <v>5</v>
      </c>
      <c r="K62" s="33">
        <f t="shared" si="13"/>
        <v>4.666666666666667</v>
      </c>
      <c r="L62" s="101"/>
    </row>
    <row r="63" spans="1:12" s="158" customFormat="1" ht="29.15" x14ac:dyDescent="0.4">
      <c r="A63" s="99" t="s">
        <v>120</v>
      </c>
      <c r="B63" s="156" t="s">
        <v>6</v>
      </c>
      <c r="C63" s="101" t="str">
        <f>VLOOKUP($A63,PERTANYAAN!$A$18:$E$71,3,0)</f>
        <v>Adaptif</v>
      </c>
      <c r="D63" s="101" t="str">
        <f>VLOOKUP($A63,PERTANYAAN!$A$18:$E$71,4,0)</f>
        <v>Coba ceritakan pengalaman anda terkait dengan berada dalam lingkungan yang baru / hal yang baru?</v>
      </c>
      <c r="E63" s="46">
        <f>VLOOKUP($A63,PERTANYAAN!$A$18:$E$71,5,0)</f>
        <v>2.5000000000000001E-2</v>
      </c>
      <c r="F63" s="46"/>
      <c r="G63" s="159">
        <f>'HR (DIAN)'!M63</f>
        <v>2.5</v>
      </c>
      <c r="H63" s="159">
        <f>'USER1-DIAN'!M63</f>
        <v>2.0000000000000004</v>
      </c>
      <c r="I63" s="159"/>
      <c r="J63" s="159">
        <f>'MANAGER-DIAN'!M63</f>
        <v>2.0000000000000004</v>
      </c>
      <c r="K63" s="33">
        <f t="shared" si="13"/>
        <v>2.1666666666666665</v>
      </c>
      <c r="L63" s="101"/>
    </row>
    <row r="64" spans="1:12" x14ac:dyDescent="0.4">
      <c r="A64" s="92"/>
      <c r="B64" s="104"/>
      <c r="C64" s="103"/>
      <c r="D64" s="30"/>
      <c r="E64" s="17"/>
      <c r="F64" s="17"/>
      <c r="G64" s="102"/>
      <c r="H64" s="102"/>
      <c r="I64" s="102"/>
      <c r="J64" s="102"/>
      <c r="K64" s="16"/>
      <c r="L64" s="103"/>
    </row>
    <row r="65" spans="1:12" s="2" customFormat="1" x14ac:dyDescent="0.4">
      <c r="A65" s="3"/>
      <c r="B65" s="48" t="s">
        <v>100</v>
      </c>
      <c r="C65" s="49" t="s">
        <v>48</v>
      </c>
      <c r="D65" s="50"/>
      <c r="E65" s="51">
        <f>SUM(E66:E68)</f>
        <v>0.05</v>
      </c>
      <c r="F65" s="51"/>
      <c r="G65" s="54">
        <f t="shared" ref="G65:J65" si="14">SUM(G66:G68)</f>
        <v>5</v>
      </c>
      <c r="H65" s="54">
        <f t="shared" si="14"/>
        <v>3</v>
      </c>
      <c r="I65" s="54"/>
      <c r="J65" s="54">
        <f t="shared" si="14"/>
        <v>2.2000000000000002</v>
      </c>
      <c r="K65" s="54">
        <f>SUM(K66:K68)</f>
        <v>3.4</v>
      </c>
      <c r="L65" s="49"/>
    </row>
    <row r="66" spans="1:12" s="158" customFormat="1" ht="30" customHeight="1" x14ac:dyDescent="0.4">
      <c r="A66" s="99" t="s">
        <v>121</v>
      </c>
      <c r="B66" s="156" t="s">
        <v>6</v>
      </c>
      <c r="C66" s="101" t="str">
        <f>VLOOKUP($A66,PERTANYAAN!$A$18:$E$71,3,0)</f>
        <v>Ekspektasi Salary (Mengukur Budget &amp; Skill)</v>
      </c>
      <c r="D66" s="101" t="str">
        <f>VLOOKUP($A66,PERTANYAAN!$A$18:$E$71,4,0)</f>
        <v>Menurut anda, berapa ekspektasi salary/gaji yang anda inginkan? Bagaimana jika perusahaan belum memenuhinya?</v>
      </c>
      <c r="E66" s="46">
        <f>VLOOKUP($A66,PERTANYAAN!$A$18:$E$71,5,0)</f>
        <v>0.04</v>
      </c>
      <c r="F66" s="46"/>
      <c r="G66" s="159">
        <f>'HR (DIAN)'!M66</f>
        <v>4</v>
      </c>
      <c r="H66" s="159">
        <f>'USER1-DIAN'!M66</f>
        <v>2.4</v>
      </c>
      <c r="I66" s="159"/>
      <c r="J66" s="159">
        <f>'MANAGER-DIAN'!M66</f>
        <v>1.6</v>
      </c>
      <c r="K66" s="33">
        <f t="shared" ref="K66:K67" si="15">AVERAGE(G66:J66)</f>
        <v>2.6666666666666665</v>
      </c>
      <c r="L66" s="101"/>
    </row>
    <row r="67" spans="1:12" s="158" customFormat="1" ht="30" customHeight="1" x14ac:dyDescent="0.4">
      <c r="A67" s="99" t="s">
        <v>122</v>
      </c>
      <c r="B67" s="156" t="s">
        <v>6</v>
      </c>
      <c r="C67" s="101" t="str">
        <f>VLOOKUP($A67,PERTANYAAN!$A$18:$E$71,3,0)</f>
        <v>Tujuan Karir</v>
      </c>
      <c r="D67" s="101" t="str">
        <f>VLOOKUP($A67,PERTANYAAN!$A$18:$E$71,4,0)</f>
        <v>Sejauh yang anda tahu tentang Daniswara, apa tujuan anda berkarir/berkarya bersama Daniswara? Apa ada target posisi yang anda inginkan?</v>
      </c>
      <c r="E67" s="46">
        <f>VLOOKUP($A67,PERTANYAAN!$A$18:$E$71,5,0)</f>
        <v>0.01</v>
      </c>
      <c r="F67" s="46"/>
      <c r="G67" s="159">
        <f>'HR (DIAN)'!M67</f>
        <v>1</v>
      </c>
      <c r="H67" s="159">
        <f>'USER1-DIAN'!M67</f>
        <v>0.6</v>
      </c>
      <c r="I67" s="159"/>
      <c r="J67" s="159">
        <f>'MANAGER-DIAN'!M67</f>
        <v>0.6</v>
      </c>
      <c r="K67" s="33">
        <f t="shared" si="15"/>
        <v>0.73333333333333339</v>
      </c>
      <c r="L67" s="101"/>
    </row>
    <row r="68" spans="1:12" s="158" customFormat="1" x14ac:dyDescent="0.4">
      <c r="A68" s="99"/>
      <c r="B68" s="157"/>
      <c r="C68" s="101"/>
      <c r="D68" s="32"/>
      <c r="E68" s="46"/>
      <c r="F68" s="46"/>
      <c r="G68" s="157"/>
      <c r="H68" s="157"/>
      <c r="I68" s="157"/>
      <c r="J68" s="157"/>
      <c r="K68" s="33"/>
      <c r="L68" s="101"/>
    </row>
    <row r="69" spans="1:12" s="2" customFormat="1" x14ac:dyDescent="0.4">
      <c r="A69" s="3"/>
      <c r="B69" s="48" t="s">
        <v>101</v>
      </c>
      <c r="C69" s="49" t="s">
        <v>134</v>
      </c>
      <c r="D69" s="50"/>
      <c r="E69" s="51">
        <f>SUM(E70:E70)</f>
        <v>0.05</v>
      </c>
      <c r="F69" s="51"/>
      <c r="G69" s="54">
        <f t="shared" ref="G69:J69" si="16">SUM(G70)</f>
        <v>5</v>
      </c>
      <c r="H69" s="54">
        <f t="shared" si="16"/>
        <v>4.0000000000000009</v>
      </c>
      <c r="I69" s="54"/>
      <c r="J69" s="54"/>
      <c r="K69" s="54">
        <f>SUM(K70)</f>
        <v>4.5</v>
      </c>
      <c r="L69" s="49"/>
    </row>
    <row r="70" spans="1:12" s="158" customFormat="1" ht="30" customHeight="1" x14ac:dyDescent="0.4">
      <c r="A70" s="99" t="s">
        <v>123</v>
      </c>
      <c r="B70" s="156" t="s">
        <v>6</v>
      </c>
      <c r="C70" s="101" t="str">
        <f>VLOOKUP($A70,PERTANYAAN!$A$18:$E$71,3,0)</f>
        <v>Pertanyaan Spesifik User</v>
      </c>
      <c r="D70" s="101" t="str">
        <f>VLOOKUP($A70,PERTANYAAN!$A$18:$E$71,4,0)</f>
        <v>Jika dalam 1 team terjadi perselisihan,apa yang akan lakukan? Dan Jika terjadi kendala di lapangan, apa yang akan anda lakukan?</v>
      </c>
      <c r="E70" s="46">
        <f>VLOOKUP($A70,PERTANYAAN!$A$18:$E$71,5,0)</f>
        <v>0.05</v>
      </c>
      <c r="F70" s="46"/>
      <c r="G70" s="159">
        <f>'HR (DIAN)'!M70</f>
        <v>5</v>
      </c>
      <c r="H70" s="159">
        <f>'USER1-DIAN'!M70</f>
        <v>4.0000000000000009</v>
      </c>
      <c r="I70" s="159"/>
      <c r="J70" s="159"/>
      <c r="K70" s="33">
        <f t="shared" ref="K70" si="17">AVERAGE(G70:J70)</f>
        <v>4.5</v>
      </c>
      <c r="L70" s="101"/>
    </row>
    <row r="71" spans="1:12" x14ac:dyDescent="0.4">
      <c r="B71" s="105"/>
      <c r="C71" s="106"/>
      <c r="D71" s="31"/>
      <c r="E71" s="22"/>
      <c r="F71" s="22"/>
      <c r="G71" s="107"/>
      <c r="H71" s="107"/>
      <c r="I71" s="107"/>
      <c r="J71" s="107"/>
      <c r="K71" s="21"/>
      <c r="L71" s="106"/>
    </row>
    <row r="73" spans="1:12" x14ac:dyDescent="0.4">
      <c r="G73" s="26" t="s">
        <v>61</v>
      </c>
    </row>
    <row r="74" spans="1:12" x14ac:dyDescent="0.4">
      <c r="G74" s="94" t="s">
        <v>39</v>
      </c>
      <c r="H74" s="94" t="s">
        <v>29</v>
      </c>
      <c r="I74" s="95" t="s">
        <v>69</v>
      </c>
      <c r="J74" s="95"/>
    </row>
    <row r="75" spans="1:12" x14ac:dyDescent="0.4">
      <c r="G75" s="94" t="s">
        <v>40</v>
      </c>
      <c r="H75" s="94" t="s">
        <v>29</v>
      </c>
      <c r="I75" s="95" t="s">
        <v>70</v>
      </c>
      <c r="J75" s="95"/>
    </row>
    <row r="76" spans="1:12" x14ac:dyDescent="0.4">
      <c r="G76" s="94" t="s">
        <v>41</v>
      </c>
      <c r="H76" s="94" t="s">
        <v>29</v>
      </c>
      <c r="I76" s="95" t="s">
        <v>71</v>
      </c>
      <c r="J76" s="95"/>
    </row>
    <row r="77" spans="1:12" x14ac:dyDescent="0.4">
      <c r="G77" s="94" t="s">
        <v>42</v>
      </c>
      <c r="H77" s="94" t="s">
        <v>29</v>
      </c>
      <c r="I77" s="95" t="s">
        <v>72</v>
      </c>
      <c r="J77" s="95"/>
    </row>
    <row r="78" spans="1:12" x14ac:dyDescent="0.4">
      <c r="G78" s="94" t="s">
        <v>43</v>
      </c>
      <c r="H78" s="94" t="s">
        <v>29</v>
      </c>
      <c r="I78" s="95" t="s">
        <v>73</v>
      </c>
      <c r="J78" s="95"/>
    </row>
  </sheetData>
  <mergeCells count="8">
    <mergeCell ref="K13:K14"/>
    <mergeCell ref="L13:L14"/>
    <mergeCell ref="A13:A14"/>
    <mergeCell ref="B13:B14"/>
    <mergeCell ref="C13:C14"/>
    <mergeCell ref="D13:D14"/>
    <mergeCell ref="E13:E14"/>
    <mergeCell ref="G13:J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8412-0C5E-43F5-B1A1-7FFC40EC2179}">
  <sheetPr>
    <tabColor rgb="FF00B0F0"/>
  </sheetPr>
  <dimension ref="A1:N78"/>
  <sheetViews>
    <sheetView zoomScaleNormal="100" workbookViewId="0">
      <pane xSplit="1" ySplit="14" topLeftCell="B18" activePane="bottomRight" state="frozen"/>
      <selection activeCell="N23" sqref="N23"/>
      <selection pane="topRight" activeCell="N23" sqref="N23"/>
      <selection pane="bottomLeft" activeCell="N23" sqref="N23"/>
      <selection pane="bottomRight" activeCell="N23" sqref="N23"/>
    </sheetView>
  </sheetViews>
  <sheetFormatPr defaultRowHeight="14.6" outlineLevelRow="1" x14ac:dyDescent="0.4"/>
  <cols>
    <col min="1" max="1" width="17.69140625" style="93" customWidth="1"/>
    <col min="2" max="2" width="4.3828125" style="92" bestFit="1" customWidth="1"/>
    <col min="3" max="3" width="40.15234375" style="93" bestFit="1" customWidth="1"/>
    <col min="4" max="4" width="9.23046875" style="5"/>
    <col min="5" max="5" width="1.69140625" style="5" customWidth="1"/>
    <col min="6" max="7" width="9.23046875" style="4"/>
    <col min="8" max="12" width="9.23046875" style="94"/>
    <col min="13" max="13" width="9.23046875" style="4"/>
    <col min="14" max="14" width="16.84375" style="93" customWidth="1"/>
    <col min="15" max="16384" width="9.23046875" style="93"/>
  </cols>
  <sheetData>
    <row r="1" spans="1:14" x14ac:dyDescent="0.4">
      <c r="A1" s="2" t="s">
        <v>125</v>
      </c>
    </row>
    <row r="2" spans="1:14" x14ac:dyDescent="0.4">
      <c r="A2" s="2" t="s">
        <v>0</v>
      </c>
    </row>
    <row r="5" spans="1:14" x14ac:dyDescent="0.4">
      <c r="A5" s="2" t="s">
        <v>1</v>
      </c>
      <c r="B5" s="92" t="s">
        <v>29</v>
      </c>
      <c r="C5" s="2" t="s">
        <v>129</v>
      </c>
      <c r="L5" s="26" t="s">
        <v>61</v>
      </c>
      <c r="M5" s="94"/>
      <c r="N5" s="94"/>
    </row>
    <row r="6" spans="1:14" x14ac:dyDescent="0.4">
      <c r="A6" s="2" t="s">
        <v>20</v>
      </c>
      <c r="B6" s="92" t="s">
        <v>29</v>
      </c>
      <c r="C6" s="93" t="s">
        <v>31</v>
      </c>
      <c r="L6" s="94" t="s">
        <v>39</v>
      </c>
      <c r="M6" s="94" t="s">
        <v>29</v>
      </c>
      <c r="N6" s="95" t="s">
        <v>69</v>
      </c>
    </row>
    <row r="7" spans="1:14" x14ac:dyDescent="0.4">
      <c r="A7" s="2" t="s">
        <v>32</v>
      </c>
      <c r="B7" s="92" t="s">
        <v>29</v>
      </c>
      <c r="C7" s="93" t="s">
        <v>33</v>
      </c>
      <c r="L7" s="94" t="s">
        <v>40</v>
      </c>
      <c r="M7" s="94" t="s">
        <v>29</v>
      </c>
      <c r="N7" s="95" t="s">
        <v>70</v>
      </c>
    </row>
    <row r="8" spans="1:14" x14ac:dyDescent="0.4">
      <c r="A8" s="2" t="s">
        <v>34</v>
      </c>
      <c r="B8" s="92" t="s">
        <v>29</v>
      </c>
      <c r="C8" s="93" t="s">
        <v>35</v>
      </c>
      <c r="L8" s="94" t="s">
        <v>41</v>
      </c>
      <c r="M8" s="94" t="s">
        <v>29</v>
      </c>
      <c r="N8" s="95" t="s">
        <v>71</v>
      </c>
    </row>
    <row r="9" spans="1:14" x14ac:dyDescent="0.4">
      <c r="A9" s="2" t="s">
        <v>28</v>
      </c>
      <c r="B9" s="92" t="s">
        <v>29</v>
      </c>
      <c r="C9" s="93" t="s">
        <v>83</v>
      </c>
      <c r="L9" s="94" t="s">
        <v>42</v>
      </c>
      <c r="M9" s="94" t="s">
        <v>29</v>
      </c>
      <c r="N9" s="95" t="s">
        <v>72</v>
      </c>
    </row>
    <row r="10" spans="1:14" x14ac:dyDescent="0.4">
      <c r="A10" s="2" t="s">
        <v>38</v>
      </c>
      <c r="B10" s="92" t="s">
        <v>29</v>
      </c>
      <c r="C10" s="2" t="s">
        <v>62</v>
      </c>
      <c r="D10" s="6" t="s">
        <v>91</v>
      </c>
      <c r="L10" s="94" t="s">
        <v>43</v>
      </c>
      <c r="M10" s="94" t="s">
        <v>29</v>
      </c>
      <c r="N10" s="95" t="s">
        <v>73</v>
      </c>
    </row>
    <row r="11" spans="1:14" x14ac:dyDescent="0.4">
      <c r="A11" s="2" t="s">
        <v>67</v>
      </c>
      <c r="B11" s="92" t="s">
        <v>29</v>
      </c>
      <c r="C11" s="24">
        <f>M16</f>
        <v>48.7</v>
      </c>
    </row>
    <row r="13" spans="1:14" s="2" customFormat="1" x14ac:dyDescent="0.4">
      <c r="A13" s="67" t="s">
        <v>124</v>
      </c>
      <c r="B13" s="68" t="s">
        <v>2</v>
      </c>
      <c r="C13" s="68" t="s">
        <v>3</v>
      </c>
      <c r="D13" s="70" t="s">
        <v>19</v>
      </c>
      <c r="E13" s="42"/>
      <c r="F13" s="65" t="s">
        <v>18</v>
      </c>
      <c r="G13" s="65"/>
      <c r="H13" s="68" t="s">
        <v>37</v>
      </c>
      <c r="I13" s="68"/>
      <c r="J13" s="68"/>
      <c r="K13" s="68"/>
      <c r="L13" s="68"/>
      <c r="M13" s="65" t="s">
        <v>17</v>
      </c>
      <c r="N13" s="66" t="s">
        <v>61</v>
      </c>
    </row>
    <row r="14" spans="1:14" s="2" customFormat="1" x14ac:dyDescent="0.4">
      <c r="A14" s="67"/>
      <c r="B14" s="68"/>
      <c r="C14" s="96"/>
      <c r="D14" s="71"/>
      <c r="E14" s="44"/>
      <c r="F14" s="43" t="s">
        <v>14</v>
      </c>
      <c r="G14" s="43" t="s">
        <v>15</v>
      </c>
      <c r="H14" s="41" t="s">
        <v>39</v>
      </c>
      <c r="I14" s="41" t="s">
        <v>40</v>
      </c>
      <c r="J14" s="41" t="s">
        <v>41</v>
      </c>
      <c r="K14" s="41" t="s">
        <v>42</v>
      </c>
      <c r="L14" s="41" t="s">
        <v>43</v>
      </c>
      <c r="M14" s="65"/>
      <c r="N14" s="66"/>
    </row>
    <row r="15" spans="1:14" s="2" customFormat="1" x14ac:dyDescent="0.4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4">
      <c r="A16" s="3"/>
      <c r="B16" s="39"/>
      <c r="C16" s="63" t="s">
        <v>65</v>
      </c>
      <c r="D16" s="39"/>
      <c r="E16" s="39"/>
      <c r="F16" s="61"/>
      <c r="G16" s="61"/>
      <c r="H16" s="39"/>
      <c r="I16" s="39"/>
      <c r="J16" s="39"/>
      <c r="K16" s="39"/>
      <c r="L16" s="39"/>
      <c r="M16" s="40">
        <f>M17+M21+M27+M43+M60+M65+M69</f>
        <v>48.7</v>
      </c>
      <c r="N16" s="35"/>
    </row>
    <row r="17" spans="1:14" x14ac:dyDescent="0.4">
      <c r="B17" s="48" t="s">
        <v>66</v>
      </c>
      <c r="C17" s="49" t="s">
        <v>8</v>
      </c>
      <c r="D17" s="51">
        <f>SUM(D18:D19)</f>
        <v>0.1</v>
      </c>
      <c r="E17" s="51"/>
      <c r="F17" s="54"/>
      <c r="G17" s="54"/>
      <c r="H17" s="97"/>
      <c r="I17" s="97"/>
      <c r="J17" s="97"/>
      <c r="K17" s="97"/>
      <c r="L17" s="97"/>
      <c r="M17" s="54">
        <f>SUM(M18:M20)</f>
        <v>0</v>
      </c>
      <c r="N17" s="98"/>
    </row>
    <row r="18" spans="1:14" x14ac:dyDescent="0.4">
      <c r="A18" s="99" t="s">
        <v>102</v>
      </c>
      <c r="B18" s="100">
        <v>1</v>
      </c>
      <c r="C18" s="101" t="str">
        <f>VLOOKUP($A18,PERTANYAAN!$A$18:$E$71,3,0)</f>
        <v>Pengalaman di dalam Daniswara Group</v>
      </c>
      <c r="D18" s="46">
        <f>VLOOKUP($A18,PERTANYAAN!$A$18:$E$71,5,0)</f>
        <v>0.06</v>
      </c>
      <c r="E18" s="17"/>
      <c r="F18" s="16"/>
      <c r="G18" s="16"/>
      <c r="H18" s="102"/>
      <c r="I18" s="102"/>
      <c r="J18" s="102"/>
      <c r="K18" s="102"/>
      <c r="L18" s="102"/>
      <c r="M18" s="16">
        <f>IF(F18="V",D18*100,0)</f>
        <v>0</v>
      </c>
      <c r="N18" s="103"/>
    </row>
    <row r="19" spans="1:14" x14ac:dyDescent="0.4">
      <c r="A19" s="99" t="s">
        <v>103</v>
      </c>
      <c r="B19" s="100">
        <f>B18+1</f>
        <v>2</v>
      </c>
      <c r="C19" s="101" t="str">
        <f>VLOOKUP($A19,PERTANYAAN!$A$18:$E$71,3,0)</f>
        <v>Pengalaman di luar Daniswara Group</v>
      </c>
      <c r="D19" s="46">
        <f>VLOOKUP($A19,PERTANYAAN!$A$18:$E$71,5,0)</f>
        <v>0.04</v>
      </c>
      <c r="E19" s="17"/>
      <c r="F19" s="16"/>
      <c r="G19" s="16"/>
      <c r="H19" s="102"/>
      <c r="I19" s="102"/>
      <c r="J19" s="102"/>
      <c r="K19" s="102"/>
      <c r="L19" s="102"/>
      <c r="M19" s="16">
        <f>IF(F19="V",D19*100,0)</f>
        <v>0</v>
      </c>
      <c r="N19" s="103"/>
    </row>
    <row r="20" spans="1:14" x14ac:dyDescent="0.4">
      <c r="A20" s="92"/>
      <c r="B20" s="104"/>
      <c r="C20" s="103"/>
      <c r="D20" s="17"/>
      <c r="E20" s="17"/>
      <c r="F20" s="16"/>
      <c r="G20" s="16"/>
      <c r="H20" s="102"/>
      <c r="I20" s="102"/>
      <c r="J20" s="102"/>
      <c r="K20" s="102"/>
      <c r="L20" s="102"/>
      <c r="M20" s="16"/>
      <c r="N20" s="103"/>
    </row>
    <row r="21" spans="1:14" x14ac:dyDescent="0.4">
      <c r="A21" s="92"/>
      <c r="B21" s="48" t="s">
        <v>42</v>
      </c>
      <c r="C21" s="49" t="s">
        <v>9</v>
      </c>
      <c r="D21" s="51">
        <f>SUM(D22:D25)</f>
        <v>0.05</v>
      </c>
      <c r="E21" s="51"/>
      <c r="F21" s="54"/>
      <c r="G21" s="54"/>
      <c r="H21" s="97"/>
      <c r="I21" s="97"/>
      <c r="J21" s="97"/>
      <c r="K21" s="97"/>
      <c r="L21" s="97"/>
      <c r="M21" s="54">
        <f>SUM(M22:M25)</f>
        <v>5</v>
      </c>
      <c r="N21" s="98"/>
    </row>
    <row r="22" spans="1:14" x14ac:dyDescent="0.4">
      <c r="A22" s="99" t="s">
        <v>104</v>
      </c>
      <c r="B22" s="100">
        <v>1</v>
      </c>
      <c r="C22" s="101" t="str">
        <f>VLOOKUP($A22,PERTANYAAN!$A$18:$E$71,3,0)</f>
        <v>Identitas (KTP &amp; KK)</v>
      </c>
      <c r="D22" s="46">
        <f>VLOOKUP($A22,PERTANYAAN!$A$18:$E$71,5,0)</f>
        <v>0.01</v>
      </c>
      <c r="E22" s="17"/>
      <c r="F22" s="16" t="s">
        <v>16</v>
      </c>
      <c r="G22" s="16"/>
      <c r="H22" s="102"/>
      <c r="I22" s="102"/>
      <c r="J22" s="102"/>
      <c r="K22" s="102"/>
      <c r="L22" s="102"/>
      <c r="M22" s="16">
        <f>IF(F22="V",D22*100,0)</f>
        <v>1</v>
      </c>
      <c r="N22" s="103"/>
    </row>
    <row r="23" spans="1:14" x14ac:dyDescent="0.4">
      <c r="A23" s="99" t="s">
        <v>105</v>
      </c>
      <c r="B23" s="100">
        <f>B22+1</f>
        <v>2</v>
      </c>
      <c r="C23" s="101" t="str">
        <f>VLOOKUP($A23,PERTANYAAN!$A$18:$E$71,3,0)</f>
        <v>SIM A (utk jabatan di Divisi Operasi)</v>
      </c>
      <c r="D23" s="46">
        <f>VLOOKUP($A23,PERTANYAAN!$A$18:$E$71,5,0)</f>
        <v>0.02</v>
      </c>
      <c r="E23" s="17"/>
      <c r="F23" s="16" t="s">
        <v>16</v>
      </c>
      <c r="G23" s="16"/>
      <c r="H23" s="102"/>
      <c r="I23" s="102"/>
      <c r="J23" s="102"/>
      <c r="K23" s="102"/>
      <c r="L23" s="102"/>
      <c r="M23" s="16">
        <f>IF(F23="V",D23*100,0)</f>
        <v>2</v>
      </c>
      <c r="N23" s="103"/>
    </row>
    <row r="24" spans="1:14" x14ac:dyDescent="0.4">
      <c r="A24" s="99" t="s">
        <v>106</v>
      </c>
      <c r="B24" s="100">
        <f t="shared" ref="B24:B25" si="0">B23+1</f>
        <v>3</v>
      </c>
      <c r="C24" s="101" t="str">
        <f>VLOOKUP($A24,PERTANYAAN!$A$18:$E$71,3,0)</f>
        <v>SIM C</v>
      </c>
      <c r="D24" s="46">
        <f>VLOOKUP($A24,PERTANYAAN!$A$18:$E$71,5,0)</f>
        <v>0.01</v>
      </c>
      <c r="E24" s="17"/>
      <c r="F24" s="16" t="s">
        <v>16</v>
      </c>
      <c r="G24" s="16"/>
      <c r="H24" s="102"/>
      <c r="I24" s="102"/>
      <c r="J24" s="102"/>
      <c r="K24" s="102"/>
      <c r="L24" s="102"/>
      <c r="M24" s="16">
        <f>IF(F24="V",D24*100,0)</f>
        <v>1</v>
      </c>
      <c r="N24" s="103"/>
    </row>
    <row r="25" spans="1:14" x14ac:dyDescent="0.4">
      <c r="A25" s="99" t="s">
        <v>107</v>
      </c>
      <c r="B25" s="100">
        <f t="shared" si="0"/>
        <v>4</v>
      </c>
      <c r="C25" s="101" t="str">
        <f>VLOOKUP($A25,PERTANYAAN!$A$18:$E$71,3,0)</f>
        <v>NPWP</v>
      </c>
      <c r="D25" s="46">
        <f>VLOOKUP($A25,PERTANYAAN!$A$18:$E$71,5,0)</f>
        <v>0.01</v>
      </c>
      <c r="E25" s="17"/>
      <c r="F25" s="16" t="s">
        <v>16</v>
      </c>
      <c r="G25" s="16"/>
      <c r="H25" s="102"/>
      <c r="I25" s="102"/>
      <c r="J25" s="102"/>
      <c r="K25" s="102"/>
      <c r="L25" s="102"/>
      <c r="M25" s="16">
        <f>IF(F25="V",D25*100,0)</f>
        <v>1</v>
      </c>
      <c r="N25" s="103"/>
    </row>
    <row r="26" spans="1:14" x14ac:dyDescent="0.4">
      <c r="A26" s="92"/>
      <c r="B26" s="104"/>
      <c r="C26" s="103"/>
      <c r="D26" s="17"/>
      <c r="E26" s="17"/>
      <c r="F26" s="16"/>
      <c r="G26" s="16"/>
      <c r="H26" s="102"/>
      <c r="I26" s="102"/>
      <c r="J26" s="102"/>
      <c r="K26" s="102"/>
      <c r="L26" s="102"/>
      <c r="M26" s="16"/>
      <c r="N26" s="103"/>
    </row>
    <row r="27" spans="1:14" x14ac:dyDescent="0.4">
      <c r="A27" s="92"/>
      <c r="B27" s="48" t="s">
        <v>97</v>
      </c>
      <c r="C27" s="49" t="s">
        <v>21</v>
      </c>
      <c r="D27" s="51">
        <f>D28</f>
        <v>0.35000000000000003</v>
      </c>
      <c r="E27" s="57"/>
      <c r="F27" s="60"/>
      <c r="G27" s="60"/>
      <c r="H27" s="97"/>
      <c r="I27" s="97"/>
      <c r="J27" s="97"/>
      <c r="K27" s="97"/>
      <c r="L27" s="97"/>
      <c r="M27" s="54">
        <f>M28</f>
        <v>14</v>
      </c>
      <c r="N27" s="98"/>
    </row>
    <row r="28" spans="1:14" x14ac:dyDescent="0.4">
      <c r="A28" s="99" t="s">
        <v>108</v>
      </c>
      <c r="B28" s="100">
        <v>1</v>
      </c>
      <c r="C28" s="101" t="str">
        <f>VLOOKUP($A28,PERTANYAAN!$A$18:$E$71,3,0)</f>
        <v>Operasi / Logistik</v>
      </c>
      <c r="D28" s="46">
        <f>VLOOKUP($A28,PERTANYAAN!$A$18:$E$71,5,0)</f>
        <v>0.35000000000000003</v>
      </c>
      <c r="E28" s="17"/>
      <c r="F28" s="16"/>
      <c r="G28" s="16"/>
      <c r="H28" s="102"/>
      <c r="I28" s="102"/>
      <c r="J28" s="102"/>
      <c r="K28" s="102"/>
      <c r="L28" s="102"/>
      <c r="M28" s="16">
        <f>SUM(M29:M33)</f>
        <v>14</v>
      </c>
      <c r="N28" s="103"/>
    </row>
    <row r="29" spans="1:14" x14ac:dyDescent="0.4">
      <c r="A29" s="99" t="s">
        <v>109</v>
      </c>
      <c r="B29" s="100" t="s">
        <v>6</v>
      </c>
      <c r="C29" s="101" t="str">
        <f>VLOOKUP($A29,PERTANYAAN!$A$18:$E$71,3,0)</f>
        <v>Skill Mengemudi</v>
      </c>
      <c r="D29" s="46">
        <f>VLOOKUP($A29,PERTANYAAN!$A$18:$E$71,5,0)</f>
        <v>0.15</v>
      </c>
      <c r="E29" s="17"/>
      <c r="F29" s="16"/>
      <c r="G29" s="16"/>
      <c r="H29" s="102"/>
      <c r="I29" s="102" t="s">
        <v>16</v>
      </c>
      <c r="J29" s="102"/>
      <c r="K29" s="102"/>
      <c r="L29" s="102"/>
      <c r="M29" s="16">
        <f>IF(H29="V",$D29*H$15,IF(I29="V",$D29*I$15,IF(J29="V",$D29*J$15,IF(K29="V",$D29*K$15,IF(L29="V",$D29*L$15,0)))))*100</f>
        <v>6</v>
      </c>
      <c r="N29" s="103"/>
    </row>
    <row r="30" spans="1:14" x14ac:dyDescent="0.4">
      <c r="A30" s="99" t="s">
        <v>110</v>
      </c>
      <c r="B30" s="100" t="s">
        <v>6</v>
      </c>
      <c r="C30" s="101" t="str">
        <f>VLOOKUP($A30,PERTANYAAN!$A$18:$E$71,3,0)</f>
        <v>Flow Administrasi Logistik</v>
      </c>
      <c r="D30" s="46">
        <f>VLOOKUP($A30,PERTANYAAN!$A$18:$E$71,5,0)</f>
        <v>0.1</v>
      </c>
      <c r="E30" s="17"/>
      <c r="F30" s="16"/>
      <c r="G30" s="16"/>
      <c r="H30" s="102"/>
      <c r="I30" s="102" t="s">
        <v>16</v>
      </c>
      <c r="J30" s="102"/>
      <c r="K30" s="102"/>
      <c r="L30" s="102"/>
      <c r="M30" s="16">
        <f t="shared" ref="M30:M32" si="1">IF(H30="V",$D30*H$15,IF(I30="V",$D30*I$15,IF(J30="V",$D30*J$15,IF(K30="V",$D30*K$15,IF(L30="V",$D30*L$15,0)))))*100</f>
        <v>4.0000000000000009</v>
      </c>
      <c r="N30" s="103"/>
    </row>
    <row r="31" spans="1:14" x14ac:dyDescent="0.4">
      <c r="A31" s="99" t="s">
        <v>111</v>
      </c>
      <c r="B31" s="100" t="s">
        <v>6</v>
      </c>
      <c r="C31" s="101" t="str">
        <f>VLOOKUP($A31,PERTANYAAN!$A$18:$E$71,3,0)</f>
        <v>Pengetahuan terkait logistik</v>
      </c>
      <c r="D31" s="46">
        <f>VLOOKUP($A31,PERTANYAAN!$A$18:$E$71,5,0)</f>
        <v>2.5000000000000001E-2</v>
      </c>
      <c r="E31" s="17"/>
      <c r="F31" s="16"/>
      <c r="G31" s="16"/>
      <c r="H31" s="102"/>
      <c r="I31" s="102" t="s">
        <v>16</v>
      </c>
      <c r="J31" s="102"/>
      <c r="K31" s="102"/>
      <c r="L31" s="102"/>
      <c r="M31" s="16">
        <f t="shared" si="1"/>
        <v>1.0000000000000002</v>
      </c>
      <c r="N31" s="103"/>
    </row>
    <row r="32" spans="1:14" x14ac:dyDescent="0.4">
      <c r="A32" s="99" t="s">
        <v>112</v>
      </c>
      <c r="B32" s="100" t="s">
        <v>6</v>
      </c>
      <c r="C32" s="101" t="str">
        <f>VLOOKUP($A32,PERTANYAAN!$A$18:$E$71,3,0)</f>
        <v>Pengalaman di Bongkar Muat</v>
      </c>
      <c r="D32" s="46">
        <f>VLOOKUP($A32,PERTANYAAN!$A$18:$E$71,5,0)</f>
        <v>7.4999999999999997E-2</v>
      </c>
      <c r="E32" s="17"/>
      <c r="F32" s="16"/>
      <c r="G32" s="16"/>
      <c r="H32" s="102"/>
      <c r="I32" s="102" t="s">
        <v>16</v>
      </c>
      <c r="J32" s="102"/>
      <c r="K32" s="102"/>
      <c r="L32" s="102"/>
      <c r="M32" s="16">
        <f t="shared" si="1"/>
        <v>3</v>
      </c>
      <c r="N32" s="103"/>
    </row>
    <row r="33" spans="1:14" x14ac:dyDescent="0.4">
      <c r="A33" s="92"/>
      <c r="B33" s="100"/>
      <c r="C33" s="103"/>
      <c r="D33" s="17"/>
      <c r="E33" s="17"/>
      <c r="F33" s="16"/>
      <c r="G33" s="16"/>
      <c r="H33" s="102"/>
      <c r="I33" s="102"/>
      <c r="J33" s="102"/>
      <c r="K33" s="102"/>
      <c r="L33" s="102"/>
      <c r="M33" s="16"/>
      <c r="N33" s="103"/>
    </row>
    <row r="34" spans="1:14" hidden="1" outlineLevel="1" x14ac:dyDescent="0.4">
      <c r="A34" s="92"/>
      <c r="B34" s="100">
        <f>B28+1</f>
        <v>2</v>
      </c>
      <c r="C34" s="103" t="s">
        <v>22</v>
      </c>
      <c r="D34" s="17">
        <f>SUM(D35:D37)</f>
        <v>0.35</v>
      </c>
      <c r="E34" s="17"/>
      <c r="F34" s="16"/>
      <c r="G34" s="16"/>
      <c r="H34" s="102"/>
      <c r="I34" s="102"/>
      <c r="J34" s="102"/>
      <c r="K34" s="102"/>
      <c r="L34" s="102"/>
      <c r="M34" s="16"/>
      <c r="N34" s="103"/>
    </row>
    <row r="35" spans="1:14" hidden="1" outlineLevel="1" x14ac:dyDescent="0.4">
      <c r="A35" s="92"/>
      <c r="B35" s="100" t="s">
        <v>6</v>
      </c>
      <c r="C35" s="103" t="s">
        <v>44</v>
      </c>
      <c r="D35" s="17">
        <v>0.15</v>
      </c>
      <c r="E35" s="17"/>
      <c r="F35" s="16"/>
      <c r="G35" s="16"/>
      <c r="H35" s="102"/>
      <c r="I35" s="102"/>
      <c r="J35" s="102"/>
      <c r="K35" s="102"/>
      <c r="L35" s="102"/>
      <c r="M35" s="16"/>
      <c r="N35" s="103"/>
    </row>
    <row r="36" spans="1:14" hidden="1" outlineLevel="1" x14ac:dyDescent="0.4">
      <c r="A36" s="92"/>
      <c r="B36" s="100" t="s">
        <v>6</v>
      </c>
      <c r="C36" s="103" t="s">
        <v>50</v>
      </c>
      <c r="D36" s="17">
        <v>0.2</v>
      </c>
      <c r="E36" s="17"/>
      <c r="F36" s="16"/>
      <c r="G36" s="16"/>
      <c r="H36" s="102"/>
      <c r="I36" s="102"/>
      <c r="J36" s="102"/>
      <c r="K36" s="102"/>
      <c r="L36" s="102"/>
      <c r="M36" s="16"/>
      <c r="N36" s="103"/>
    </row>
    <row r="37" spans="1:14" hidden="1" outlineLevel="1" x14ac:dyDescent="0.4">
      <c r="A37" s="92"/>
      <c r="B37" s="100"/>
      <c r="C37" s="103"/>
      <c r="D37" s="17"/>
      <c r="E37" s="17"/>
      <c r="F37" s="16"/>
      <c r="G37" s="16"/>
      <c r="H37" s="102"/>
      <c r="I37" s="102"/>
      <c r="J37" s="102"/>
      <c r="K37" s="102"/>
      <c r="L37" s="102"/>
      <c r="M37" s="16"/>
      <c r="N37" s="103"/>
    </row>
    <row r="38" spans="1:14" hidden="1" outlineLevel="1" x14ac:dyDescent="0.4">
      <c r="A38" s="92"/>
      <c r="B38" s="104">
        <v>3</v>
      </c>
      <c r="C38" s="103" t="s">
        <v>23</v>
      </c>
      <c r="D38" s="17"/>
      <c r="E38" s="17"/>
      <c r="F38" s="16"/>
      <c r="G38" s="16"/>
      <c r="H38" s="102"/>
      <c r="I38" s="102"/>
      <c r="J38" s="102"/>
      <c r="K38" s="102"/>
      <c r="L38" s="102"/>
      <c r="M38" s="16"/>
      <c r="N38" s="103"/>
    </row>
    <row r="39" spans="1:14" hidden="1" outlineLevel="1" x14ac:dyDescent="0.4">
      <c r="A39" s="92"/>
      <c r="B39" s="100" t="s">
        <v>6</v>
      </c>
      <c r="C39" s="103" t="s">
        <v>52</v>
      </c>
      <c r="D39" s="17"/>
      <c r="E39" s="17"/>
      <c r="F39" s="16"/>
      <c r="G39" s="16"/>
      <c r="H39" s="102"/>
      <c r="I39" s="102"/>
      <c r="J39" s="102"/>
      <c r="K39" s="102"/>
      <c r="L39" s="102"/>
      <c r="M39" s="16"/>
      <c r="N39" s="103"/>
    </row>
    <row r="40" spans="1:14" hidden="1" outlineLevel="1" x14ac:dyDescent="0.4">
      <c r="A40" s="92"/>
      <c r="B40" s="100" t="s">
        <v>6</v>
      </c>
      <c r="C40" s="103" t="s">
        <v>53</v>
      </c>
      <c r="D40" s="17"/>
      <c r="E40" s="17"/>
      <c r="F40" s="16"/>
      <c r="G40" s="16"/>
      <c r="H40" s="102"/>
      <c r="I40" s="102"/>
      <c r="J40" s="102"/>
      <c r="K40" s="102"/>
      <c r="L40" s="102"/>
      <c r="M40" s="16"/>
      <c r="N40" s="103"/>
    </row>
    <row r="41" spans="1:14" hidden="1" outlineLevel="1" x14ac:dyDescent="0.4">
      <c r="A41" s="92"/>
      <c r="B41" s="100" t="s">
        <v>6</v>
      </c>
      <c r="C41" s="103"/>
      <c r="D41" s="17"/>
      <c r="E41" s="17"/>
      <c r="F41" s="16"/>
      <c r="G41" s="16"/>
      <c r="H41" s="102"/>
      <c r="I41" s="102"/>
      <c r="J41" s="102"/>
      <c r="K41" s="102"/>
      <c r="L41" s="102"/>
      <c r="M41" s="16"/>
      <c r="N41" s="103"/>
    </row>
    <row r="42" spans="1:14" hidden="1" outlineLevel="1" x14ac:dyDescent="0.4">
      <c r="A42" s="92"/>
      <c r="B42" s="104"/>
      <c r="C42" s="103"/>
      <c r="D42" s="17"/>
      <c r="E42" s="17"/>
      <c r="F42" s="16"/>
      <c r="G42" s="16"/>
      <c r="H42" s="102"/>
      <c r="I42" s="102"/>
      <c r="J42" s="102"/>
      <c r="K42" s="102"/>
      <c r="L42" s="102"/>
      <c r="M42" s="16"/>
      <c r="N42" s="103"/>
    </row>
    <row r="43" spans="1:14" s="2" customFormat="1" collapsed="1" x14ac:dyDescent="0.4">
      <c r="A43" s="3"/>
      <c r="B43" s="48" t="s">
        <v>98</v>
      </c>
      <c r="C43" s="49" t="s">
        <v>24</v>
      </c>
      <c r="D43" s="51">
        <f>D44</f>
        <v>0.25</v>
      </c>
      <c r="E43" s="51"/>
      <c r="F43" s="54"/>
      <c r="G43" s="54"/>
      <c r="H43" s="59"/>
      <c r="I43" s="59"/>
      <c r="J43" s="59"/>
      <c r="K43" s="59"/>
      <c r="L43" s="59"/>
      <c r="M43" s="54">
        <f>M44</f>
        <v>14</v>
      </c>
      <c r="N43" s="49"/>
    </row>
    <row r="44" spans="1:14" x14ac:dyDescent="0.4">
      <c r="A44" s="92" t="s">
        <v>113</v>
      </c>
      <c r="B44" s="104">
        <v>1</v>
      </c>
      <c r="C44" s="101" t="str">
        <f>VLOOKUP($A44,PERTANYAAN!$A$18:$E$71,3,0)</f>
        <v>Staff</v>
      </c>
      <c r="D44" s="46">
        <f>VLOOKUP($A44,PERTANYAAN!$A$18:$E$71,5,0)</f>
        <v>0.25</v>
      </c>
      <c r="E44" s="17"/>
      <c r="F44" s="16"/>
      <c r="G44" s="16"/>
      <c r="H44" s="102"/>
      <c r="I44" s="102"/>
      <c r="J44" s="102"/>
      <c r="K44" s="102"/>
      <c r="L44" s="102"/>
      <c r="M44" s="16">
        <f>SUM(M45:M48)</f>
        <v>14</v>
      </c>
      <c r="N44" s="103"/>
    </row>
    <row r="45" spans="1:14" x14ac:dyDescent="0.4">
      <c r="A45" s="99" t="s">
        <v>114</v>
      </c>
      <c r="B45" s="100" t="s">
        <v>6</v>
      </c>
      <c r="C45" s="101" t="str">
        <f>VLOOKUP($A45,PERTANYAAN!$A$18:$E$71,3,0)</f>
        <v>Kepemimpinan</v>
      </c>
      <c r="D45" s="46">
        <f>VLOOKUP($A45,PERTANYAAN!$A$18:$E$71,5,0)</f>
        <v>2.5000000000000001E-2</v>
      </c>
      <c r="E45" s="17"/>
      <c r="F45" s="16"/>
      <c r="G45" s="16"/>
      <c r="H45" s="102"/>
      <c r="I45" s="102" t="s">
        <v>16</v>
      </c>
      <c r="J45" s="102"/>
      <c r="K45" s="102"/>
      <c r="L45" s="102"/>
      <c r="M45" s="16">
        <f>IF(H45="V",$D45*H$15,IF(I45="V",$D45*I$15,IF(J45="V",$D45*J$15,IF(K45="V",$D45*K$15,IF(L45="V",$D45*L$15,0)))))*100</f>
        <v>1.0000000000000002</v>
      </c>
      <c r="N45" s="103"/>
    </row>
    <row r="46" spans="1:14" x14ac:dyDescent="0.4">
      <c r="A46" s="99" t="s">
        <v>115</v>
      </c>
      <c r="B46" s="100" t="s">
        <v>6</v>
      </c>
      <c r="C46" s="101" t="str">
        <f>VLOOKUP($A46,PERTANYAAN!$A$18:$E$71,3,0)</f>
        <v>Komunikasi</v>
      </c>
      <c r="D46" s="46">
        <f>VLOOKUP($A46,PERTANYAAN!$A$18:$E$71,5,0)</f>
        <v>0.1</v>
      </c>
      <c r="E46" s="17"/>
      <c r="F46" s="16"/>
      <c r="G46" s="16"/>
      <c r="H46" s="102"/>
      <c r="I46" s="102"/>
      <c r="J46" s="102" t="s">
        <v>16</v>
      </c>
      <c r="K46" s="102"/>
      <c r="L46" s="102"/>
      <c r="M46" s="16">
        <f>IF(H46="V",$D46*H$15,IF(I46="V",$D46*I$15,IF(J46="V",$D46*J$15,IF(K46="V",$D46*K$15,IF(L46="V",$D46*L$15,0)))))*100</f>
        <v>6</v>
      </c>
      <c r="N46" s="103"/>
    </row>
    <row r="47" spans="1:14" x14ac:dyDescent="0.4">
      <c r="A47" s="99" t="s">
        <v>116</v>
      </c>
      <c r="B47" s="100" t="s">
        <v>6</v>
      </c>
      <c r="C47" s="101" t="str">
        <f>VLOOKUP($A47,PERTANYAAN!$A$18:$E$71,3,0)</f>
        <v>Patuh pada Peraturan / Commitment</v>
      </c>
      <c r="D47" s="46">
        <f>VLOOKUP($A47,PERTANYAAN!$A$18:$E$71,5,0)</f>
        <v>0.05</v>
      </c>
      <c r="E47" s="17"/>
      <c r="F47" s="16"/>
      <c r="G47" s="16"/>
      <c r="H47" s="102"/>
      <c r="I47" s="102"/>
      <c r="J47" s="102"/>
      <c r="K47" s="102" t="s">
        <v>16</v>
      </c>
      <c r="L47" s="102"/>
      <c r="M47" s="16">
        <f>IF(H47="V",$D47*H$15,IF(I47="V",$D47*I$15,IF(J47="V",$D47*J$15,IF(K47="V",$D47*K$15,IF(L47="V",$D47*L$15,0)))))*100</f>
        <v>4.0000000000000009</v>
      </c>
      <c r="N47" s="103"/>
    </row>
    <row r="48" spans="1:14" x14ac:dyDescent="0.4">
      <c r="A48" s="99" t="s">
        <v>117</v>
      </c>
      <c r="B48" s="100" t="s">
        <v>6</v>
      </c>
      <c r="C48" s="101" t="str">
        <f>VLOOKUP($A48,PERTANYAAN!$A$18:$E$71,3,0)</f>
        <v>Determinasi thd tekanan</v>
      </c>
      <c r="D48" s="46">
        <f>VLOOKUP($A48,PERTANYAAN!$A$18:$E$71,5,0)</f>
        <v>7.4999999999999997E-2</v>
      </c>
      <c r="E48" s="17"/>
      <c r="F48" s="16"/>
      <c r="G48" s="16"/>
      <c r="H48" s="102"/>
      <c r="I48" s="102" t="s">
        <v>16</v>
      </c>
      <c r="J48" s="102"/>
      <c r="K48" s="102"/>
      <c r="L48" s="102"/>
      <c r="M48" s="16">
        <f>IF(H48="V",$D48*H$15,IF(I48="V",$D48*I$15,IF(J48="V",$D48*J$15,IF(K48="V",$D48*K$15,IF(L48="V",$D48*L$15,0)))))*100</f>
        <v>3</v>
      </c>
      <c r="N48" s="103"/>
    </row>
    <row r="49" spans="1:14" x14ac:dyDescent="0.4">
      <c r="A49" s="92"/>
      <c r="B49" s="100"/>
      <c r="C49" s="103"/>
      <c r="D49" s="17"/>
      <c r="E49" s="17"/>
      <c r="F49" s="16"/>
      <c r="G49" s="16"/>
      <c r="H49" s="102"/>
      <c r="I49" s="102"/>
      <c r="J49" s="102"/>
      <c r="K49" s="102"/>
      <c r="L49" s="102"/>
      <c r="M49" s="16"/>
      <c r="N49" s="103"/>
    </row>
    <row r="50" spans="1:14" hidden="1" outlineLevel="1" x14ac:dyDescent="0.4">
      <c r="A50" s="92"/>
      <c r="B50" s="104">
        <v>2</v>
      </c>
      <c r="C50" s="103" t="s">
        <v>26</v>
      </c>
      <c r="D50" s="17"/>
      <c r="E50" s="17"/>
      <c r="F50" s="16"/>
      <c r="G50" s="16"/>
      <c r="H50" s="102"/>
      <c r="I50" s="102"/>
      <c r="J50" s="102"/>
      <c r="K50" s="102"/>
      <c r="L50" s="102"/>
      <c r="M50" s="16"/>
      <c r="N50" s="103"/>
    </row>
    <row r="51" spans="1:14" hidden="1" outlineLevel="1" x14ac:dyDescent="0.4">
      <c r="A51" s="92"/>
      <c r="B51" s="100" t="s">
        <v>6</v>
      </c>
      <c r="C51" s="103" t="s">
        <v>54</v>
      </c>
      <c r="D51" s="17"/>
      <c r="E51" s="17"/>
      <c r="F51" s="16"/>
      <c r="G51" s="16"/>
      <c r="H51" s="102"/>
      <c r="I51" s="102"/>
      <c r="J51" s="102"/>
      <c r="K51" s="102"/>
      <c r="L51" s="102"/>
      <c r="M51" s="16"/>
      <c r="N51" s="103"/>
    </row>
    <row r="52" spans="1:14" hidden="1" outlineLevel="1" x14ac:dyDescent="0.4">
      <c r="A52" s="92"/>
      <c r="B52" s="100" t="s">
        <v>6</v>
      </c>
      <c r="C52" s="103" t="s">
        <v>55</v>
      </c>
      <c r="D52" s="17"/>
      <c r="E52" s="17"/>
      <c r="F52" s="16"/>
      <c r="G52" s="16"/>
      <c r="H52" s="102"/>
      <c r="I52" s="102"/>
      <c r="J52" s="102"/>
      <c r="K52" s="102"/>
      <c r="L52" s="102"/>
      <c r="M52" s="16"/>
      <c r="N52" s="103"/>
    </row>
    <row r="53" spans="1:14" hidden="1" outlineLevel="1" x14ac:dyDescent="0.4">
      <c r="A53" s="92"/>
      <c r="B53" s="100" t="s">
        <v>6</v>
      </c>
      <c r="C53" s="103" t="s">
        <v>56</v>
      </c>
      <c r="D53" s="17"/>
      <c r="E53" s="17"/>
      <c r="F53" s="16"/>
      <c r="G53" s="16"/>
      <c r="H53" s="102"/>
      <c r="I53" s="102"/>
      <c r="J53" s="102"/>
      <c r="K53" s="102"/>
      <c r="L53" s="102"/>
      <c r="M53" s="16"/>
      <c r="N53" s="103"/>
    </row>
    <row r="54" spans="1:14" hidden="1" outlineLevel="1" x14ac:dyDescent="0.4">
      <c r="A54" s="92"/>
      <c r="B54" s="100"/>
      <c r="C54" s="103"/>
      <c r="D54" s="17"/>
      <c r="E54" s="17"/>
      <c r="F54" s="16"/>
      <c r="G54" s="16"/>
      <c r="H54" s="102"/>
      <c r="I54" s="102"/>
      <c r="J54" s="102"/>
      <c r="K54" s="102"/>
      <c r="L54" s="102"/>
      <c r="M54" s="16"/>
      <c r="N54" s="103"/>
    </row>
    <row r="55" spans="1:14" hidden="1" outlineLevel="1" x14ac:dyDescent="0.4">
      <c r="A55" s="92"/>
      <c r="B55" s="104">
        <v>3</v>
      </c>
      <c r="C55" s="103" t="s">
        <v>27</v>
      </c>
      <c r="D55" s="17"/>
      <c r="E55" s="17"/>
      <c r="F55" s="16"/>
      <c r="G55" s="16"/>
      <c r="H55" s="102"/>
      <c r="I55" s="102"/>
      <c r="J55" s="102"/>
      <c r="K55" s="102"/>
      <c r="L55" s="102"/>
      <c r="M55" s="16"/>
      <c r="N55" s="103"/>
    </row>
    <row r="56" spans="1:14" hidden="1" outlineLevel="1" x14ac:dyDescent="0.4">
      <c r="A56" s="92"/>
      <c r="B56" s="100" t="s">
        <v>6</v>
      </c>
      <c r="C56" s="103" t="s">
        <v>54</v>
      </c>
      <c r="D56" s="17"/>
      <c r="E56" s="17"/>
      <c r="F56" s="16"/>
      <c r="G56" s="16"/>
      <c r="H56" s="102"/>
      <c r="I56" s="102"/>
      <c r="J56" s="102"/>
      <c r="K56" s="102"/>
      <c r="L56" s="102"/>
      <c r="M56" s="16"/>
      <c r="N56" s="103"/>
    </row>
    <row r="57" spans="1:14" hidden="1" outlineLevel="1" x14ac:dyDescent="0.4">
      <c r="A57" s="92"/>
      <c r="B57" s="100" t="s">
        <v>6</v>
      </c>
      <c r="C57" s="103" t="s">
        <v>56</v>
      </c>
      <c r="D57" s="17"/>
      <c r="E57" s="17"/>
      <c r="F57" s="16"/>
      <c r="G57" s="16"/>
      <c r="H57" s="102"/>
      <c r="I57" s="102"/>
      <c r="J57" s="102"/>
      <c r="K57" s="102"/>
      <c r="L57" s="102"/>
      <c r="M57" s="16"/>
      <c r="N57" s="103"/>
    </row>
    <row r="58" spans="1:14" hidden="1" outlineLevel="1" x14ac:dyDescent="0.4">
      <c r="A58" s="92"/>
      <c r="B58" s="100" t="s">
        <v>6</v>
      </c>
      <c r="C58" s="103" t="s">
        <v>57</v>
      </c>
      <c r="D58" s="17"/>
      <c r="E58" s="17"/>
      <c r="F58" s="16"/>
      <c r="G58" s="16"/>
      <c r="H58" s="102"/>
      <c r="I58" s="102"/>
      <c r="J58" s="102"/>
      <c r="K58" s="102"/>
      <c r="L58" s="102"/>
      <c r="M58" s="16"/>
      <c r="N58" s="103"/>
    </row>
    <row r="59" spans="1:14" hidden="1" outlineLevel="1" x14ac:dyDescent="0.4">
      <c r="A59" s="92"/>
      <c r="B59" s="104"/>
      <c r="C59" s="103"/>
      <c r="D59" s="17"/>
      <c r="E59" s="17"/>
      <c r="F59" s="16"/>
      <c r="G59" s="16"/>
      <c r="H59" s="102"/>
      <c r="I59" s="102"/>
      <c r="J59" s="102"/>
      <c r="K59" s="102"/>
      <c r="L59" s="102"/>
      <c r="M59" s="16"/>
      <c r="N59" s="103"/>
    </row>
    <row r="60" spans="1:14" s="2" customFormat="1" collapsed="1" x14ac:dyDescent="0.4">
      <c r="A60" s="3"/>
      <c r="B60" s="48" t="s">
        <v>99</v>
      </c>
      <c r="C60" s="49" t="s">
        <v>46</v>
      </c>
      <c r="D60" s="51">
        <f>SUM(D61:D64)</f>
        <v>0.15</v>
      </c>
      <c r="E60" s="51"/>
      <c r="F60" s="54"/>
      <c r="G60" s="54"/>
      <c r="H60" s="59"/>
      <c r="I60" s="59"/>
      <c r="J60" s="59"/>
      <c r="K60" s="59"/>
      <c r="L60" s="59"/>
      <c r="M60" s="54">
        <f>SUM(M61:M64)</f>
        <v>9.5</v>
      </c>
      <c r="N60" s="49"/>
    </row>
    <row r="61" spans="1:14" x14ac:dyDescent="0.4">
      <c r="A61" s="99" t="s">
        <v>118</v>
      </c>
      <c r="B61" s="100" t="s">
        <v>6</v>
      </c>
      <c r="C61" s="101" t="str">
        <f>VLOOKUP($A61,PERTANYAAN!$A$18:$E$71,3,0)</f>
        <v>Antusiasme / Keinginan bergabung</v>
      </c>
      <c r="D61" s="46">
        <f>VLOOKUP($A61,PERTANYAAN!$A$18:$E$71,5,0)</f>
        <v>7.4999999999999997E-2</v>
      </c>
      <c r="E61" s="17"/>
      <c r="F61" s="16"/>
      <c r="G61" s="16"/>
      <c r="H61" s="102"/>
      <c r="I61" s="102"/>
      <c r="J61" s="102" t="s">
        <v>16</v>
      </c>
      <c r="K61" s="102"/>
      <c r="L61" s="102"/>
      <c r="M61" s="16">
        <f t="shared" ref="M61:M63" si="2">IF(H61="V",$D61*H$15,IF(I61="V",$D61*I$15,IF(J61="V",$D61*J$15,IF(K61="V",$D61*K$15,IF(L61="V",$D61*L$15,0)))))*100</f>
        <v>4.5</v>
      </c>
      <c r="N61" s="103"/>
    </row>
    <row r="62" spans="1:14" x14ac:dyDescent="0.4">
      <c r="A62" s="99" t="s">
        <v>119</v>
      </c>
      <c r="B62" s="100" t="s">
        <v>6</v>
      </c>
      <c r="C62" s="101" t="str">
        <f>VLOOKUP($A62,PERTANYAAN!$A$18:$E$71,3,0)</f>
        <v>Inisiatif</v>
      </c>
      <c r="D62" s="46">
        <f>VLOOKUP($A62,PERTANYAAN!$A$18:$E$71,5,0)</f>
        <v>0.05</v>
      </c>
      <c r="E62" s="17"/>
      <c r="F62" s="16"/>
      <c r="G62" s="16"/>
      <c r="H62" s="102"/>
      <c r="I62" s="102"/>
      <c r="J62" s="102" t="s">
        <v>16</v>
      </c>
      <c r="K62" s="102"/>
      <c r="L62" s="102"/>
      <c r="M62" s="16">
        <f t="shared" si="2"/>
        <v>3</v>
      </c>
      <c r="N62" s="103"/>
    </row>
    <row r="63" spans="1:14" x14ac:dyDescent="0.4">
      <c r="A63" s="99" t="s">
        <v>120</v>
      </c>
      <c r="B63" s="100" t="s">
        <v>6</v>
      </c>
      <c r="C63" s="101" t="str">
        <f>VLOOKUP($A63,PERTANYAAN!$A$18:$E$71,3,0)</f>
        <v>Adaptif</v>
      </c>
      <c r="D63" s="46">
        <f>VLOOKUP($A63,PERTANYAAN!$A$18:$E$71,5,0)</f>
        <v>2.5000000000000001E-2</v>
      </c>
      <c r="E63" s="17"/>
      <c r="F63" s="16"/>
      <c r="G63" s="16"/>
      <c r="H63" s="102"/>
      <c r="I63" s="102"/>
      <c r="J63" s="102"/>
      <c r="K63" s="102" t="s">
        <v>16</v>
      </c>
      <c r="L63" s="102"/>
      <c r="M63" s="16">
        <f t="shared" si="2"/>
        <v>2.0000000000000004</v>
      </c>
      <c r="N63" s="103"/>
    </row>
    <row r="64" spans="1:14" x14ac:dyDescent="0.4">
      <c r="A64" s="92"/>
      <c r="B64" s="104"/>
      <c r="C64" s="103"/>
      <c r="D64" s="17"/>
      <c r="E64" s="17"/>
      <c r="F64" s="16"/>
      <c r="G64" s="16"/>
      <c r="H64" s="102"/>
      <c r="I64" s="102"/>
      <c r="J64" s="102"/>
      <c r="K64" s="102"/>
      <c r="L64" s="102"/>
      <c r="M64" s="16"/>
      <c r="N64" s="103"/>
    </row>
    <row r="65" spans="1:14" s="2" customFormat="1" x14ac:dyDescent="0.4">
      <c r="A65" s="3"/>
      <c r="B65" s="48" t="s">
        <v>100</v>
      </c>
      <c r="C65" s="49" t="s">
        <v>48</v>
      </c>
      <c r="D65" s="51">
        <f>SUM(D66:D68)</f>
        <v>0.05</v>
      </c>
      <c r="E65" s="51"/>
      <c r="F65" s="54"/>
      <c r="G65" s="54"/>
      <c r="H65" s="59"/>
      <c r="I65" s="59"/>
      <c r="J65" s="59"/>
      <c r="K65" s="59"/>
      <c r="L65" s="59"/>
      <c r="M65" s="54">
        <f>SUM(M66:M68)</f>
        <v>2.2000000000000002</v>
      </c>
      <c r="N65" s="49"/>
    </row>
    <row r="66" spans="1:14" x14ac:dyDescent="0.4">
      <c r="A66" s="99" t="s">
        <v>121</v>
      </c>
      <c r="B66" s="100" t="s">
        <v>6</v>
      </c>
      <c r="C66" s="101" t="str">
        <f>VLOOKUP($A66,PERTANYAAN!$A$18:$E$71,3,0)</f>
        <v>Ekspektasi Salary (Mengukur Budget &amp; Skill)</v>
      </c>
      <c r="D66" s="46">
        <f>VLOOKUP($A66,PERTANYAAN!$A$18:$E$71,5,0)</f>
        <v>0.04</v>
      </c>
      <c r="E66" s="17"/>
      <c r="F66" s="16"/>
      <c r="G66" s="16"/>
      <c r="H66" s="102"/>
      <c r="I66" s="102" t="s">
        <v>16</v>
      </c>
      <c r="J66" s="102"/>
      <c r="K66" s="102"/>
      <c r="L66" s="102"/>
      <c r="M66" s="16">
        <f t="shared" ref="M66:M67" si="3">IF(H66="V",$D66*H$15,IF(I66="V",$D66*I$15,IF(J66="V",$D66*J$15,IF(K66="V",$D66*K$15,IF(L66="V",$D66*L$15,0)))))*100</f>
        <v>1.6</v>
      </c>
      <c r="N66" s="103" t="s">
        <v>153</v>
      </c>
    </row>
    <row r="67" spans="1:14" x14ac:dyDescent="0.4">
      <c r="A67" s="99" t="s">
        <v>122</v>
      </c>
      <c r="B67" s="100" t="s">
        <v>6</v>
      </c>
      <c r="C67" s="101" t="str">
        <f>VLOOKUP($A67,PERTANYAAN!$A$18:$E$71,3,0)</f>
        <v>Tujuan Karir</v>
      </c>
      <c r="D67" s="46">
        <f>VLOOKUP($A67,PERTANYAAN!$A$18:$E$71,5,0)</f>
        <v>0.01</v>
      </c>
      <c r="E67" s="17"/>
      <c r="F67" s="16"/>
      <c r="G67" s="16"/>
      <c r="H67" s="102"/>
      <c r="I67" s="102"/>
      <c r="J67" s="102" t="s">
        <v>16</v>
      </c>
      <c r="K67" s="102"/>
      <c r="L67" s="102"/>
      <c r="M67" s="16">
        <f t="shared" si="3"/>
        <v>0.6</v>
      </c>
      <c r="N67" s="103"/>
    </row>
    <row r="68" spans="1:14" x14ac:dyDescent="0.4">
      <c r="A68" s="99"/>
      <c r="B68" s="104"/>
      <c r="C68" s="103"/>
      <c r="D68" s="17"/>
      <c r="E68" s="17"/>
      <c r="F68" s="16"/>
      <c r="G68" s="16"/>
      <c r="H68" s="102"/>
      <c r="I68" s="102"/>
      <c r="J68" s="102"/>
      <c r="K68" s="102"/>
      <c r="L68" s="102"/>
      <c r="M68" s="16"/>
      <c r="N68" s="103"/>
    </row>
    <row r="69" spans="1:14" s="2" customFormat="1" x14ac:dyDescent="0.4">
      <c r="A69" s="3"/>
      <c r="B69" s="48" t="s">
        <v>101</v>
      </c>
      <c r="C69" s="49" t="s">
        <v>134</v>
      </c>
      <c r="D69" s="51">
        <f>SUM(D70:D70)</f>
        <v>0.05</v>
      </c>
      <c r="E69" s="51"/>
      <c r="F69" s="54"/>
      <c r="G69" s="54"/>
      <c r="H69" s="59"/>
      <c r="I69" s="59"/>
      <c r="J69" s="59"/>
      <c r="K69" s="59"/>
      <c r="L69" s="59"/>
      <c r="M69" s="54">
        <f>SUM(M70)</f>
        <v>4.0000000000000009</v>
      </c>
      <c r="N69" s="49"/>
    </row>
    <row r="70" spans="1:14" x14ac:dyDescent="0.4">
      <c r="A70" s="99" t="s">
        <v>123</v>
      </c>
      <c r="B70" s="100" t="s">
        <v>6</v>
      </c>
      <c r="C70" s="101" t="str">
        <f>VLOOKUP($A70,PERTANYAAN!$A$18:$E$71,3,0)</f>
        <v>Pertanyaan Spesifik User</v>
      </c>
      <c r="D70" s="46">
        <f>VLOOKUP($A70,PERTANYAAN!$A$18:$E$71,5,0)</f>
        <v>0.05</v>
      </c>
      <c r="E70" s="17"/>
      <c r="F70" s="16"/>
      <c r="G70" s="16"/>
      <c r="H70" s="102"/>
      <c r="I70" s="102"/>
      <c r="J70" s="102"/>
      <c r="K70" s="102" t="s">
        <v>16</v>
      </c>
      <c r="L70" s="102"/>
      <c r="M70" s="16">
        <f t="shared" ref="M70" si="4">IF(H70="V",$D70*H$15,IF(I70="V",$D70*I$15,IF(J70="V",$D70*J$15,IF(K70="V",$D70*K$15,IF(L70="V",$D70*L$15,0)))))*100</f>
        <v>4.0000000000000009</v>
      </c>
      <c r="N70" s="103"/>
    </row>
    <row r="71" spans="1:14" x14ac:dyDescent="0.4">
      <c r="B71" s="105"/>
      <c r="C71" s="106"/>
      <c r="D71" s="22"/>
      <c r="E71" s="22"/>
      <c r="F71" s="21"/>
      <c r="G71" s="21"/>
      <c r="H71" s="107"/>
      <c r="I71" s="107"/>
      <c r="J71" s="107"/>
      <c r="K71" s="107"/>
      <c r="L71" s="107"/>
      <c r="M71" s="21"/>
      <c r="N71" s="106"/>
    </row>
    <row r="73" spans="1:14" x14ac:dyDescent="0.4">
      <c r="H73" s="26" t="s">
        <v>61</v>
      </c>
    </row>
    <row r="74" spans="1:14" x14ac:dyDescent="0.4">
      <c r="H74" s="94" t="s">
        <v>39</v>
      </c>
      <c r="I74" s="94" t="s">
        <v>29</v>
      </c>
      <c r="J74" s="95" t="s">
        <v>69</v>
      </c>
    </row>
    <row r="75" spans="1:14" x14ac:dyDescent="0.4">
      <c r="H75" s="94" t="s">
        <v>40</v>
      </c>
      <c r="I75" s="94" t="s">
        <v>29</v>
      </c>
      <c r="J75" s="95" t="s">
        <v>70</v>
      </c>
    </row>
    <row r="76" spans="1:14" x14ac:dyDescent="0.4">
      <c r="H76" s="94" t="s">
        <v>41</v>
      </c>
      <c r="I76" s="94" t="s">
        <v>29</v>
      </c>
      <c r="J76" s="95" t="s">
        <v>71</v>
      </c>
    </row>
    <row r="77" spans="1:14" x14ac:dyDescent="0.4">
      <c r="H77" s="94" t="s">
        <v>42</v>
      </c>
      <c r="I77" s="94" t="s">
        <v>29</v>
      </c>
      <c r="J77" s="95" t="s">
        <v>72</v>
      </c>
    </row>
    <row r="78" spans="1:14" x14ac:dyDescent="0.4">
      <c r="H78" s="94" t="s">
        <v>43</v>
      </c>
      <c r="I78" s="94" t="s">
        <v>29</v>
      </c>
      <c r="J78" s="95" t="s">
        <v>73</v>
      </c>
    </row>
  </sheetData>
  <mergeCells count="8"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AFC5-344F-4DF1-BC5C-C741014373BD}">
  <sheetPr>
    <tabColor rgb="FF00B0F0"/>
  </sheetPr>
  <dimension ref="A1:N78"/>
  <sheetViews>
    <sheetView zoomScaleNormal="100" workbookViewId="0">
      <pane xSplit="1" ySplit="14" topLeftCell="B15" activePane="bottomRight" state="frozen"/>
      <selection activeCell="N23" sqref="N23"/>
      <selection pane="topRight" activeCell="N23" sqref="N23"/>
      <selection pane="bottomLeft" activeCell="N23" sqref="N23"/>
      <selection pane="bottomRight" activeCell="N23" sqref="N23"/>
    </sheetView>
  </sheetViews>
  <sheetFormatPr defaultRowHeight="14.6" outlineLevelRow="1" x14ac:dyDescent="0.4"/>
  <cols>
    <col min="1" max="1" width="17.69140625" style="93" customWidth="1"/>
    <col min="2" max="2" width="4.3828125" style="92" bestFit="1" customWidth="1"/>
    <col min="3" max="3" width="40.15234375" style="93" bestFit="1" customWidth="1"/>
    <col min="4" max="4" width="9.23046875" style="5"/>
    <col min="5" max="5" width="1.69140625" style="5" customWidth="1"/>
    <col min="6" max="7" width="9.23046875" style="4"/>
    <col min="8" max="12" width="9.23046875" style="94"/>
    <col min="13" max="13" width="9.23046875" style="4"/>
    <col min="14" max="14" width="16.84375" style="93" customWidth="1"/>
    <col min="15" max="16384" width="9.23046875" style="93"/>
  </cols>
  <sheetData>
    <row r="1" spans="1:14" x14ac:dyDescent="0.4">
      <c r="A1" s="2" t="s">
        <v>125</v>
      </c>
    </row>
    <row r="2" spans="1:14" x14ac:dyDescent="0.4">
      <c r="A2" s="2" t="s">
        <v>0</v>
      </c>
    </row>
    <row r="5" spans="1:14" x14ac:dyDescent="0.4">
      <c r="A5" s="2" t="s">
        <v>1</v>
      </c>
      <c r="B5" s="92" t="s">
        <v>29</v>
      </c>
      <c r="C5" s="2" t="s">
        <v>149</v>
      </c>
      <c r="L5" s="26" t="s">
        <v>61</v>
      </c>
      <c r="M5" s="94"/>
      <c r="N5" s="94"/>
    </row>
    <row r="6" spans="1:14" x14ac:dyDescent="0.4">
      <c r="A6" s="2" t="s">
        <v>20</v>
      </c>
      <c r="B6" s="92" t="s">
        <v>29</v>
      </c>
      <c r="C6" s="93" t="s">
        <v>31</v>
      </c>
      <c r="L6" s="94" t="s">
        <v>39</v>
      </c>
      <c r="M6" s="94" t="s">
        <v>29</v>
      </c>
      <c r="N6" s="95" t="s">
        <v>69</v>
      </c>
    </row>
    <row r="7" spans="1:14" x14ac:dyDescent="0.4">
      <c r="A7" s="2" t="s">
        <v>32</v>
      </c>
      <c r="B7" s="92" t="s">
        <v>29</v>
      </c>
      <c r="C7" s="93" t="s">
        <v>33</v>
      </c>
      <c r="L7" s="94" t="s">
        <v>40</v>
      </c>
      <c r="M7" s="94" t="s">
        <v>29</v>
      </c>
      <c r="N7" s="95" t="s">
        <v>70</v>
      </c>
    </row>
    <row r="8" spans="1:14" x14ac:dyDescent="0.4">
      <c r="A8" s="2" t="s">
        <v>34</v>
      </c>
      <c r="B8" s="92" t="s">
        <v>29</v>
      </c>
      <c r="C8" s="93" t="s">
        <v>35</v>
      </c>
      <c r="L8" s="94" t="s">
        <v>41</v>
      </c>
      <c r="M8" s="94" t="s">
        <v>29</v>
      </c>
      <c r="N8" s="95" t="s">
        <v>71</v>
      </c>
    </row>
    <row r="9" spans="1:14" x14ac:dyDescent="0.4">
      <c r="A9" s="2" t="s">
        <v>28</v>
      </c>
      <c r="B9" s="92" t="s">
        <v>29</v>
      </c>
      <c r="C9" s="93" t="s">
        <v>83</v>
      </c>
      <c r="L9" s="94" t="s">
        <v>42</v>
      </c>
      <c r="M9" s="94" t="s">
        <v>29</v>
      </c>
      <c r="N9" s="95" t="s">
        <v>72</v>
      </c>
    </row>
    <row r="10" spans="1:14" x14ac:dyDescent="0.4">
      <c r="A10" s="2" t="s">
        <v>38</v>
      </c>
      <c r="B10" s="92" t="s">
        <v>29</v>
      </c>
      <c r="C10" s="2" t="s">
        <v>62</v>
      </c>
      <c r="D10" s="6" t="s">
        <v>91</v>
      </c>
      <c r="L10" s="94" t="s">
        <v>43</v>
      </c>
      <c r="M10" s="94" t="s">
        <v>29</v>
      </c>
      <c r="N10" s="95" t="s">
        <v>73</v>
      </c>
    </row>
    <row r="11" spans="1:14" x14ac:dyDescent="0.4">
      <c r="A11" s="2" t="s">
        <v>67</v>
      </c>
      <c r="B11" s="92" t="s">
        <v>29</v>
      </c>
      <c r="C11" s="24">
        <f>M16</f>
        <v>79.7</v>
      </c>
    </row>
    <row r="13" spans="1:14" s="2" customFormat="1" x14ac:dyDescent="0.4">
      <c r="A13" s="67" t="s">
        <v>124</v>
      </c>
      <c r="B13" s="68" t="s">
        <v>2</v>
      </c>
      <c r="C13" s="68" t="s">
        <v>3</v>
      </c>
      <c r="D13" s="70" t="s">
        <v>19</v>
      </c>
      <c r="E13" s="42"/>
      <c r="F13" s="65" t="s">
        <v>18</v>
      </c>
      <c r="G13" s="65"/>
      <c r="H13" s="68" t="s">
        <v>37</v>
      </c>
      <c r="I13" s="68"/>
      <c r="J13" s="68"/>
      <c r="K13" s="68"/>
      <c r="L13" s="68"/>
      <c r="M13" s="65" t="s">
        <v>17</v>
      </c>
      <c r="N13" s="66" t="s">
        <v>61</v>
      </c>
    </row>
    <row r="14" spans="1:14" s="2" customFormat="1" x14ac:dyDescent="0.4">
      <c r="A14" s="67"/>
      <c r="B14" s="68"/>
      <c r="C14" s="96"/>
      <c r="D14" s="71"/>
      <c r="E14" s="44"/>
      <c r="F14" s="43" t="s">
        <v>14</v>
      </c>
      <c r="G14" s="43" t="s">
        <v>15</v>
      </c>
      <c r="H14" s="41" t="s">
        <v>39</v>
      </c>
      <c r="I14" s="41" t="s">
        <v>40</v>
      </c>
      <c r="J14" s="41" t="s">
        <v>41</v>
      </c>
      <c r="K14" s="41" t="s">
        <v>42</v>
      </c>
      <c r="L14" s="41" t="s">
        <v>43</v>
      </c>
      <c r="M14" s="65"/>
      <c r="N14" s="66"/>
    </row>
    <row r="15" spans="1:14" s="2" customFormat="1" x14ac:dyDescent="0.4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4">
      <c r="A16" s="3"/>
      <c r="B16" s="39"/>
      <c r="C16" s="63" t="s">
        <v>65</v>
      </c>
      <c r="D16" s="39"/>
      <c r="E16" s="39"/>
      <c r="F16" s="61"/>
      <c r="G16" s="61"/>
      <c r="H16" s="39"/>
      <c r="I16" s="39"/>
      <c r="J16" s="39"/>
      <c r="K16" s="39"/>
      <c r="L16" s="39"/>
      <c r="M16" s="40">
        <f>M17+M21+M27+M43+M60+M65+M69</f>
        <v>79.7</v>
      </c>
      <c r="N16" s="35"/>
    </row>
    <row r="17" spans="1:14" x14ac:dyDescent="0.4">
      <c r="B17" s="48" t="s">
        <v>66</v>
      </c>
      <c r="C17" s="49" t="s">
        <v>8</v>
      </c>
      <c r="D17" s="51">
        <f>SUM(D18:D19)</f>
        <v>0.1</v>
      </c>
      <c r="E17" s="51"/>
      <c r="F17" s="54"/>
      <c r="G17" s="54"/>
      <c r="H17" s="97"/>
      <c r="I17" s="97"/>
      <c r="J17" s="97"/>
      <c r="K17" s="97"/>
      <c r="L17" s="97"/>
      <c r="M17" s="54">
        <f>SUM(M18:M20)</f>
        <v>4</v>
      </c>
      <c r="N17" s="98"/>
    </row>
    <row r="18" spans="1:14" x14ac:dyDescent="0.4">
      <c r="A18" s="99" t="s">
        <v>102</v>
      </c>
      <c r="B18" s="100">
        <v>1</v>
      </c>
      <c r="C18" s="101" t="str">
        <f>VLOOKUP($A18,PERTANYAAN!$A$18:$E$71,3,0)</f>
        <v>Pengalaman di dalam Daniswara Group</v>
      </c>
      <c r="D18" s="46">
        <f>VLOOKUP($A18,PERTANYAAN!$A$18:$E$71,5,0)</f>
        <v>0.06</v>
      </c>
      <c r="E18" s="17"/>
      <c r="F18" s="16"/>
      <c r="G18" s="16"/>
      <c r="H18" s="102"/>
      <c r="I18" s="102"/>
      <c r="J18" s="102"/>
      <c r="K18" s="102"/>
      <c r="L18" s="102"/>
      <c r="M18" s="16">
        <f>IF(F18="V",D18*100,0)</f>
        <v>0</v>
      </c>
      <c r="N18" s="103"/>
    </row>
    <row r="19" spans="1:14" x14ac:dyDescent="0.4">
      <c r="A19" s="99" t="s">
        <v>103</v>
      </c>
      <c r="B19" s="100">
        <f>B18+1</f>
        <v>2</v>
      </c>
      <c r="C19" s="101" t="str">
        <f>VLOOKUP($A19,PERTANYAAN!$A$18:$E$71,3,0)</f>
        <v>Pengalaman di luar Daniswara Group</v>
      </c>
      <c r="D19" s="46">
        <f>VLOOKUP($A19,PERTANYAAN!$A$18:$E$71,5,0)</f>
        <v>0.04</v>
      </c>
      <c r="E19" s="17"/>
      <c r="F19" s="16" t="s">
        <v>16</v>
      </c>
      <c r="G19" s="16"/>
      <c r="H19" s="102"/>
      <c r="I19" s="102"/>
      <c r="J19" s="102"/>
      <c r="K19" s="102"/>
      <c r="L19" s="102"/>
      <c r="M19" s="16">
        <f>IF(F19="V",D19*100,0)</f>
        <v>4</v>
      </c>
      <c r="N19" s="103"/>
    </row>
    <row r="20" spans="1:14" x14ac:dyDescent="0.4">
      <c r="A20" s="92"/>
      <c r="B20" s="104"/>
      <c r="C20" s="103"/>
      <c r="D20" s="17"/>
      <c r="E20" s="17"/>
      <c r="F20" s="16"/>
      <c r="G20" s="16"/>
      <c r="H20" s="102"/>
      <c r="I20" s="102"/>
      <c r="J20" s="102"/>
      <c r="K20" s="102"/>
      <c r="L20" s="102"/>
      <c r="M20" s="16"/>
      <c r="N20" s="103"/>
    </row>
    <row r="21" spans="1:14" x14ac:dyDescent="0.4">
      <c r="A21" s="92"/>
      <c r="B21" s="48" t="s">
        <v>42</v>
      </c>
      <c r="C21" s="49" t="s">
        <v>9</v>
      </c>
      <c r="D21" s="51">
        <f>SUM(D22:D25)</f>
        <v>0.05</v>
      </c>
      <c r="E21" s="51"/>
      <c r="F21" s="54"/>
      <c r="G21" s="54"/>
      <c r="H21" s="97"/>
      <c r="I21" s="97"/>
      <c r="J21" s="97"/>
      <c r="K21" s="97"/>
      <c r="L21" s="97"/>
      <c r="M21" s="54">
        <f>SUM(M22:M25)</f>
        <v>4</v>
      </c>
      <c r="N21" s="98"/>
    </row>
    <row r="22" spans="1:14" x14ac:dyDescent="0.4">
      <c r="A22" s="99" t="s">
        <v>104</v>
      </c>
      <c r="B22" s="100">
        <v>1</v>
      </c>
      <c r="C22" s="101" t="str">
        <f>VLOOKUP($A22,PERTANYAAN!$A$18:$E$71,3,0)</f>
        <v>Identitas (KTP &amp; KK)</v>
      </c>
      <c r="D22" s="46">
        <f>VLOOKUP($A22,PERTANYAAN!$A$18:$E$71,5,0)</f>
        <v>0.01</v>
      </c>
      <c r="E22" s="17"/>
      <c r="F22" s="16" t="s">
        <v>16</v>
      </c>
      <c r="G22" s="16"/>
      <c r="H22" s="102"/>
      <c r="I22" s="102"/>
      <c r="J22" s="102"/>
      <c r="K22" s="102"/>
      <c r="L22" s="102"/>
      <c r="M22" s="16">
        <f>IF(F22="V",D22*100,0)</f>
        <v>1</v>
      </c>
      <c r="N22" s="103"/>
    </row>
    <row r="23" spans="1:14" x14ac:dyDescent="0.4">
      <c r="A23" s="99" t="s">
        <v>105</v>
      </c>
      <c r="B23" s="100">
        <f>B22+1</f>
        <v>2</v>
      </c>
      <c r="C23" s="101" t="str">
        <f>VLOOKUP($A23,PERTANYAAN!$A$18:$E$71,3,0)</f>
        <v>SIM A (utk jabatan di Divisi Operasi)</v>
      </c>
      <c r="D23" s="46">
        <f>VLOOKUP($A23,PERTANYAAN!$A$18:$E$71,5,0)</f>
        <v>0.02</v>
      </c>
      <c r="E23" s="17"/>
      <c r="F23" s="16" t="s">
        <v>16</v>
      </c>
      <c r="G23" s="16"/>
      <c r="H23" s="102"/>
      <c r="I23" s="102"/>
      <c r="J23" s="102"/>
      <c r="K23" s="102"/>
      <c r="L23" s="102"/>
      <c r="M23" s="16">
        <f>IF(F23="V",D23*100,0)</f>
        <v>2</v>
      </c>
      <c r="N23" s="103"/>
    </row>
    <row r="24" spans="1:14" x14ac:dyDescent="0.4">
      <c r="A24" s="99" t="s">
        <v>106</v>
      </c>
      <c r="B24" s="100">
        <f t="shared" ref="B24:B25" si="0">B23+1</f>
        <v>3</v>
      </c>
      <c r="C24" s="101" t="str">
        <f>VLOOKUP($A24,PERTANYAAN!$A$18:$E$71,3,0)</f>
        <v>SIM C</v>
      </c>
      <c r="D24" s="46">
        <f>VLOOKUP($A24,PERTANYAAN!$A$18:$E$71,5,0)</f>
        <v>0.01</v>
      </c>
      <c r="E24" s="17"/>
      <c r="F24" s="16"/>
      <c r="G24" s="16"/>
      <c r="H24" s="102"/>
      <c r="I24" s="102"/>
      <c r="J24" s="102"/>
      <c r="K24" s="102"/>
      <c r="L24" s="102"/>
      <c r="M24" s="16">
        <f>IF(F24="V",D24*100,0)</f>
        <v>0</v>
      </c>
      <c r="N24" s="103"/>
    </row>
    <row r="25" spans="1:14" x14ac:dyDescent="0.4">
      <c r="A25" s="99" t="s">
        <v>107</v>
      </c>
      <c r="B25" s="100">
        <f t="shared" si="0"/>
        <v>4</v>
      </c>
      <c r="C25" s="101" t="str">
        <f>VLOOKUP($A25,PERTANYAAN!$A$18:$E$71,3,0)</f>
        <v>NPWP</v>
      </c>
      <c r="D25" s="46">
        <f>VLOOKUP($A25,PERTANYAAN!$A$18:$E$71,5,0)</f>
        <v>0.01</v>
      </c>
      <c r="E25" s="17"/>
      <c r="F25" s="16" t="s">
        <v>16</v>
      </c>
      <c r="G25" s="16"/>
      <c r="H25" s="102"/>
      <c r="I25" s="102"/>
      <c r="J25" s="102"/>
      <c r="K25" s="102"/>
      <c r="L25" s="102"/>
      <c r="M25" s="16">
        <f>IF(F25="V",D25*100,0)</f>
        <v>1</v>
      </c>
      <c r="N25" s="103"/>
    </row>
    <row r="26" spans="1:14" x14ac:dyDescent="0.4">
      <c r="A26" s="92"/>
      <c r="B26" s="104"/>
      <c r="C26" s="103"/>
      <c r="D26" s="17"/>
      <c r="E26" s="17"/>
      <c r="F26" s="16"/>
      <c r="G26" s="16"/>
      <c r="H26" s="102"/>
      <c r="I26" s="102"/>
      <c r="J26" s="102"/>
      <c r="K26" s="102"/>
      <c r="L26" s="102"/>
      <c r="M26" s="16"/>
      <c r="N26" s="103"/>
    </row>
    <row r="27" spans="1:14" x14ac:dyDescent="0.4">
      <c r="A27" s="92"/>
      <c r="B27" s="48" t="s">
        <v>97</v>
      </c>
      <c r="C27" s="49" t="s">
        <v>21</v>
      </c>
      <c r="D27" s="51">
        <f>D28</f>
        <v>0.35000000000000003</v>
      </c>
      <c r="E27" s="57"/>
      <c r="F27" s="60"/>
      <c r="G27" s="60"/>
      <c r="H27" s="97"/>
      <c r="I27" s="97"/>
      <c r="J27" s="97"/>
      <c r="K27" s="97"/>
      <c r="L27" s="97"/>
      <c r="M27" s="54">
        <f>M28</f>
        <v>30.5</v>
      </c>
      <c r="N27" s="98"/>
    </row>
    <row r="28" spans="1:14" x14ac:dyDescent="0.4">
      <c r="A28" s="99" t="s">
        <v>108</v>
      </c>
      <c r="B28" s="100">
        <v>1</v>
      </c>
      <c r="C28" s="101" t="str">
        <f>VLOOKUP($A28,PERTANYAAN!$A$18:$E$71,3,0)</f>
        <v>Operasi / Logistik</v>
      </c>
      <c r="D28" s="46">
        <f>VLOOKUP($A28,PERTANYAAN!$A$18:$E$71,5,0)</f>
        <v>0.35000000000000003</v>
      </c>
      <c r="E28" s="17"/>
      <c r="F28" s="16"/>
      <c r="G28" s="16"/>
      <c r="H28" s="102"/>
      <c r="I28" s="102"/>
      <c r="J28" s="102"/>
      <c r="K28" s="102"/>
      <c r="L28" s="102"/>
      <c r="M28" s="16">
        <f>SUM(M29:M33)</f>
        <v>30.5</v>
      </c>
      <c r="N28" s="103"/>
    </row>
    <row r="29" spans="1:14" x14ac:dyDescent="0.4">
      <c r="A29" s="99" t="s">
        <v>109</v>
      </c>
      <c r="B29" s="100" t="s">
        <v>6</v>
      </c>
      <c r="C29" s="101" t="str">
        <f>VLOOKUP($A29,PERTANYAAN!$A$18:$E$71,3,0)</f>
        <v>Skill Mengemudi</v>
      </c>
      <c r="D29" s="46">
        <f>VLOOKUP($A29,PERTANYAAN!$A$18:$E$71,5,0)</f>
        <v>0.15</v>
      </c>
      <c r="E29" s="17"/>
      <c r="F29" s="16"/>
      <c r="G29" s="16"/>
      <c r="H29" s="102"/>
      <c r="I29" s="102"/>
      <c r="J29" s="102"/>
      <c r="K29" s="102"/>
      <c r="L29" s="102" t="s">
        <v>16</v>
      </c>
      <c r="M29" s="16">
        <f>IF(H29="V",$D29*H$15,IF(I29="V",$D29*I$15,IF(J29="V",$D29*J$15,IF(K29="V",$D29*K$15,IF(L29="V",$D29*L$15,0)))))*100</f>
        <v>15</v>
      </c>
      <c r="N29" s="103"/>
    </row>
    <row r="30" spans="1:14" x14ac:dyDescent="0.4">
      <c r="A30" s="99" t="s">
        <v>110</v>
      </c>
      <c r="B30" s="100" t="s">
        <v>6</v>
      </c>
      <c r="C30" s="101" t="str">
        <f>VLOOKUP($A30,PERTANYAAN!$A$18:$E$71,3,0)</f>
        <v>Flow Administrasi Logistik</v>
      </c>
      <c r="D30" s="46">
        <f>VLOOKUP($A30,PERTANYAAN!$A$18:$E$71,5,0)</f>
        <v>0.1</v>
      </c>
      <c r="E30" s="17"/>
      <c r="F30" s="16"/>
      <c r="G30" s="16"/>
      <c r="H30" s="102"/>
      <c r="I30" s="102"/>
      <c r="J30" s="102" t="s">
        <v>16</v>
      </c>
      <c r="K30" s="102"/>
      <c r="L30" s="102"/>
      <c r="M30" s="16">
        <f t="shared" ref="M30:M32" si="1">IF(H30="V",$D30*H$15,IF(I30="V",$D30*I$15,IF(J30="V",$D30*J$15,IF(K30="V",$D30*K$15,IF(L30="V",$D30*L$15,0)))))*100</f>
        <v>6</v>
      </c>
      <c r="N30" s="103"/>
    </row>
    <row r="31" spans="1:14" x14ac:dyDescent="0.4">
      <c r="A31" s="99" t="s">
        <v>111</v>
      </c>
      <c r="B31" s="100" t="s">
        <v>6</v>
      </c>
      <c r="C31" s="101" t="str">
        <f>VLOOKUP($A31,PERTANYAAN!$A$18:$E$71,3,0)</f>
        <v>Pengetahuan terkait logistik</v>
      </c>
      <c r="D31" s="46">
        <f>VLOOKUP($A31,PERTANYAAN!$A$18:$E$71,5,0)</f>
        <v>2.5000000000000001E-2</v>
      </c>
      <c r="E31" s="17"/>
      <c r="F31" s="16"/>
      <c r="G31" s="16"/>
      <c r="H31" s="102"/>
      <c r="I31" s="102"/>
      <c r="J31" s="102"/>
      <c r="K31" s="102" t="s">
        <v>16</v>
      </c>
      <c r="L31" s="102"/>
      <c r="M31" s="16">
        <f t="shared" si="1"/>
        <v>2.0000000000000004</v>
      </c>
      <c r="N31" s="103"/>
    </row>
    <row r="32" spans="1:14" x14ac:dyDescent="0.4">
      <c r="A32" s="99" t="s">
        <v>112</v>
      </c>
      <c r="B32" s="100" t="s">
        <v>6</v>
      </c>
      <c r="C32" s="101" t="str">
        <f>VLOOKUP($A32,PERTANYAAN!$A$18:$E$71,3,0)</f>
        <v>Pengalaman di Bongkar Muat</v>
      </c>
      <c r="D32" s="46">
        <f>VLOOKUP($A32,PERTANYAAN!$A$18:$E$71,5,0)</f>
        <v>7.4999999999999997E-2</v>
      </c>
      <c r="E32" s="17"/>
      <c r="F32" s="16"/>
      <c r="G32" s="16"/>
      <c r="H32" s="102"/>
      <c r="I32" s="102"/>
      <c r="J32" s="102"/>
      <c r="K32" s="102"/>
      <c r="L32" s="102" t="s">
        <v>16</v>
      </c>
      <c r="M32" s="16">
        <f t="shared" si="1"/>
        <v>7.5</v>
      </c>
      <c r="N32" s="103"/>
    </row>
    <row r="33" spans="1:14" x14ac:dyDescent="0.4">
      <c r="A33" s="92"/>
      <c r="B33" s="100"/>
      <c r="C33" s="103"/>
      <c r="D33" s="17"/>
      <c r="E33" s="17"/>
      <c r="F33" s="16"/>
      <c r="G33" s="16"/>
      <c r="H33" s="102"/>
      <c r="I33" s="102"/>
      <c r="J33" s="102"/>
      <c r="K33" s="102"/>
      <c r="L33" s="102"/>
      <c r="M33" s="16"/>
      <c r="N33" s="103"/>
    </row>
    <row r="34" spans="1:14" hidden="1" outlineLevel="1" x14ac:dyDescent="0.4">
      <c r="A34" s="92"/>
      <c r="B34" s="100">
        <f>B28+1</f>
        <v>2</v>
      </c>
      <c r="C34" s="103" t="s">
        <v>22</v>
      </c>
      <c r="D34" s="17">
        <f>SUM(D35:D37)</f>
        <v>0.35</v>
      </c>
      <c r="E34" s="17"/>
      <c r="F34" s="16"/>
      <c r="G34" s="16"/>
      <c r="H34" s="102"/>
      <c r="I34" s="102"/>
      <c r="J34" s="102"/>
      <c r="K34" s="102"/>
      <c r="L34" s="102"/>
      <c r="M34" s="16"/>
      <c r="N34" s="103"/>
    </row>
    <row r="35" spans="1:14" hidden="1" outlineLevel="1" x14ac:dyDescent="0.4">
      <c r="A35" s="92"/>
      <c r="B35" s="100" t="s">
        <v>6</v>
      </c>
      <c r="C35" s="103" t="s">
        <v>44</v>
      </c>
      <c r="D35" s="17">
        <v>0.15</v>
      </c>
      <c r="E35" s="17"/>
      <c r="F35" s="16"/>
      <c r="G35" s="16"/>
      <c r="H35" s="102"/>
      <c r="I35" s="102"/>
      <c r="J35" s="102"/>
      <c r="K35" s="102"/>
      <c r="L35" s="102"/>
      <c r="M35" s="16"/>
      <c r="N35" s="103"/>
    </row>
    <row r="36" spans="1:14" hidden="1" outlineLevel="1" x14ac:dyDescent="0.4">
      <c r="A36" s="92"/>
      <c r="B36" s="100" t="s">
        <v>6</v>
      </c>
      <c r="C36" s="103" t="s">
        <v>50</v>
      </c>
      <c r="D36" s="17">
        <v>0.2</v>
      </c>
      <c r="E36" s="17"/>
      <c r="F36" s="16"/>
      <c r="G36" s="16"/>
      <c r="H36" s="102"/>
      <c r="I36" s="102"/>
      <c r="J36" s="102"/>
      <c r="K36" s="102"/>
      <c r="L36" s="102"/>
      <c r="M36" s="16"/>
      <c r="N36" s="103"/>
    </row>
    <row r="37" spans="1:14" hidden="1" outlineLevel="1" x14ac:dyDescent="0.4">
      <c r="A37" s="92"/>
      <c r="B37" s="100"/>
      <c r="C37" s="103"/>
      <c r="D37" s="17"/>
      <c r="E37" s="17"/>
      <c r="F37" s="16"/>
      <c r="G37" s="16"/>
      <c r="H37" s="102"/>
      <c r="I37" s="102"/>
      <c r="J37" s="102"/>
      <c r="K37" s="102"/>
      <c r="L37" s="102"/>
      <c r="M37" s="16"/>
      <c r="N37" s="103"/>
    </row>
    <row r="38" spans="1:14" hidden="1" outlineLevel="1" x14ac:dyDescent="0.4">
      <c r="A38" s="92"/>
      <c r="B38" s="104">
        <v>3</v>
      </c>
      <c r="C38" s="103" t="s">
        <v>23</v>
      </c>
      <c r="D38" s="17"/>
      <c r="E38" s="17"/>
      <c r="F38" s="16"/>
      <c r="G38" s="16"/>
      <c r="H38" s="102"/>
      <c r="I38" s="102"/>
      <c r="J38" s="102"/>
      <c r="K38" s="102"/>
      <c r="L38" s="102"/>
      <c r="M38" s="16"/>
      <c r="N38" s="103"/>
    </row>
    <row r="39" spans="1:14" hidden="1" outlineLevel="1" x14ac:dyDescent="0.4">
      <c r="A39" s="92"/>
      <c r="B39" s="100" t="s">
        <v>6</v>
      </c>
      <c r="C39" s="103" t="s">
        <v>52</v>
      </c>
      <c r="D39" s="17"/>
      <c r="E39" s="17"/>
      <c r="F39" s="16"/>
      <c r="G39" s="16"/>
      <c r="H39" s="102"/>
      <c r="I39" s="102"/>
      <c r="J39" s="102"/>
      <c r="K39" s="102"/>
      <c r="L39" s="102"/>
      <c r="M39" s="16"/>
      <c r="N39" s="103"/>
    </row>
    <row r="40" spans="1:14" hidden="1" outlineLevel="1" x14ac:dyDescent="0.4">
      <c r="A40" s="92"/>
      <c r="B40" s="100" t="s">
        <v>6</v>
      </c>
      <c r="C40" s="103" t="s">
        <v>53</v>
      </c>
      <c r="D40" s="17"/>
      <c r="E40" s="17"/>
      <c r="F40" s="16"/>
      <c r="G40" s="16"/>
      <c r="H40" s="102"/>
      <c r="I40" s="102"/>
      <c r="J40" s="102"/>
      <c r="K40" s="102"/>
      <c r="L40" s="102"/>
      <c r="M40" s="16"/>
      <c r="N40" s="103"/>
    </row>
    <row r="41" spans="1:14" hidden="1" outlineLevel="1" x14ac:dyDescent="0.4">
      <c r="A41" s="92"/>
      <c r="B41" s="100" t="s">
        <v>6</v>
      </c>
      <c r="C41" s="103"/>
      <c r="D41" s="17"/>
      <c r="E41" s="17"/>
      <c r="F41" s="16"/>
      <c r="G41" s="16"/>
      <c r="H41" s="102"/>
      <c r="I41" s="102"/>
      <c r="J41" s="102"/>
      <c r="K41" s="102"/>
      <c r="L41" s="102"/>
      <c r="M41" s="16"/>
      <c r="N41" s="103"/>
    </row>
    <row r="42" spans="1:14" hidden="1" outlineLevel="1" x14ac:dyDescent="0.4">
      <c r="A42" s="92"/>
      <c r="B42" s="104"/>
      <c r="C42" s="103"/>
      <c r="D42" s="17"/>
      <c r="E42" s="17"/>
      <c r="F42" s="16"/>
      <c r="G42" s="16"/>
      <c r="H42" s="102"/>
      <c r="I42" s="102"/>
      <c r="J42" s="102"/>
      <c r="K42" s="102"/>
      <c r="L42" s="102"/>
      <c r="M42" s="16"/>
      <c r="N42" s="103"/>
    </row>
    <row r="43" spans="1:14" s="2" customFormat="1" collapsed="1" x14ac:dyDescent="0.4">
      <c r="A43" s="3"/>
      <c r="B43" s="48" t="s">
        <v>98</v>
      </c>
      <c r="C43" s="49" t="s">
        <v>24</v>
      </c>
      <c r="D43" s="51">
        <f>D44</f>
        <v>0.25</v>
      </c>
      <c r="E43" s="51"/>
      <c r="F43" s="54"/>
      <c r="G43" s="54"/>
      <c r="H43" s="59"/>
      <c r="I43" s="59"/>
      <c r="J43" s="59"/>
      <c r="K43" s="59"/>
      <c r="L43" s="59"/>
      <c r="M43" s="54">
        <f>M44</f>
        <v>20.500000000000004</v>
      </c>
      <c r="N43" s="49"/>
    </row>
    <row r="44" spans="1:14" x14ac:dyDescent="0.4">
      <c r="A44" s="92" t="s">
        <v>113</v>
      </c>
      <c r="B44" s="104">
        <v>1</v>
      </c>
      <c r="C44" s="101" t="str">
        <f>VLOOKUP($A44,PERTANYAAN!$A$18:$E$71,3,0)</f>
        <v>Staff</v>
      </c>
      <c r="D44" s="46">
        <f>VLOOKUP($A44,PERTANYAAN!$A$18:$E$71,5,0)</f>
        <v>0.25</v>
      </c>
      <c r="E44" s="17"/>
      <c r="F44" s="16"/>
      <c r="G44" s="16"/>
      <c r="H44" s="102"/>
      <c r="I44" s="102"/>
      <c r="J44" s="102"/>
      <c r="K44" s="102"/>
      <c r="L44" s="102"/>
      <c r="M44" s="16">
        <f>SUM(M45:M48)</f>
        <v>20.500000000000004</v>
      </c>
      <c r="N44" s="103"/>
    </row>
    <row r="45" spans="1:14" x14ac:dyDescent="0.4">
      <c r="A45" s="99" t="s">
        <v>114</v>
      </c>
      <c r="B45" s="100" t="s">
        <v>6</v>
      </c>
      <c r="C45" s="101" t="str">
        <f>VLOOKUP($A45,PERTANYAAN!$A$18:$E$71,3,0)</f>
        <v>Kepemimpinan</v>
      </c>
      <c r="D45" s="46">
        <f>VLOOKUP($A45,PERTANYAAN!$A$18:$E$71,5,0)</f>
        <v>2.5000000000000001E-2</v>
      </c>
      <c r="E45" s="17"/>
      <c r="F45" s="16"/>
      <c r="G45" s="16"/>
      <c r="H45" s="102"/>
      <c r="I45" s="102" t="s">
        <v>16</v>
      </c>
      <c r="J45" s="102"/>
      <c r="K45" s="102"/>
      <c r="L45" s="102"/>
      <c r="M45" s="16">
        <f>IF(H45="V",$D45*H$15,IF(I45="V",$D45*I$15,IF(J45="V",$D45*J$15,IF(K45="V",$D45*K$15,IF(L45="V",$D45*L$15,0)))))*100</f>
        <v>1.0000000000000002</v>
      </c>
      <c r="N45" s="103"/>
    </row>
    <row r="46" spans="1:14" x14ac:dyDescent="0.4">
      <c r="A46" s="99" t="s">
        <v>115</v>
      </c>
      <c r="B46" s="100" t="s">
        <v>6</v>
      </c>
      <c r="C46" s="101" t="str">
        <f>VLOOKUP($A46,PERTANYAAN!$A$18:$E$71,3,0)</f>
        <v>Komunikasi</v>
      </c>
      <c r="D46" s="46">
        <f>VLOOKUP($A46,PERTANYAAN!$A$18:$E$71,5,0)</f>
        <v>0.1</v>
      </c>
      <c r="E46" s="17"/>
      <c r="F46" s="16"/>
      <c r="G46" s="16"/>
      <c r="H46" s="102"/>
      <c r="I46" s="102"/>
      <c r="J46" s="102"/>
      <c r="K46" s="102" t="s">
        <v>16</v>
      </c>
      <c r="L46" s="102"/>
      <c r="M46" s="16">
        <f>IF(H46="V",$D46*H$15,IF(I46="V",$D46*I$15,IF(J46="V",$D46*J$15,IF(K46="V",$D46*K$15,IF(L46="V",$D46*L$15,0)))))*100</f>
        <v>8.0000000000000018</v>
      </c>
      <c r="N46" s="103"/>
    </row>
    <row r="47" spans="1:14" x14ac:dyDescent="0.4">
      <c r="A47" s="99" t="s">
        <v>116</v>
      </c>
      <c r="B47" s="100" t="s">
        <v>6</v>
      </c>
      <c r="C47" s="101" t="str">
        <f>VLOOKUP($A47,PERTANYAAN!$A$18:$E$71,3,0)</f>
        <v>Patuh pada Peraturan / Commitment</v>
      </c>
      <c r="D47" s="46">
        <f>VLOOKUP($A47,PERTANYAAN!$A$18:$E$71,5,0)</f>
        <v>0.05</v>
      </c>
      <c r="E47" s="17"/>
      <c r="F47" s="16"/>
      <c r="G47" s="16"/>
      <c r="H47" s="102"/>
      <c r="I47" s="102"/>
      <c r="J47" s="102"/>
      <c r="K47" s="102" t="s">
        <v>16</v>
      </c>
      <c r="L47" s="102"/>
      <c r="M47" s="16">
        <f>IF(H47="V",$D47*H$15,IF(I47="V",$D47*I$15,IF(J47="V",$D47*J$15,IF(K47="V",$D47*K$15,IF(L47="V",$D47*L$15,0)))))*100</f>
        <v>4.0000000000000009</v>
      </c>
      <c r="N47" s="103"/>
    </row>
    <row r="48" spans="1:14" x14ac:dyDescent="0.4">
      <c r="A48" s="99" t="s">
        <v>117</v>
      </c>
      <c r="B48" s="100" t="s">
        <v>6</v>
      </c>
      <c r="C48" s="101" t="str">
        <f>VLOOKUP($A48,PERTANYAAN!$A$18:$E$71,3,0)</f>
        <v>Determinasi thd tekanan</v>
      </c>
      <c r="D48" s="46">
        <f>VLOOKUP($A48,PERTANYAAN!$A$18:$E$71,5,0)</f>
        <v>7.4999999999999997E-2</v>
      </c>
      <c r="E48" s="17"/>
      <c r="F48" s="16"/>
      <c r="G48" s="16"/>
      <c r="H48" s="102"/>
      <c r="I48" s="102"/>
      <c r="J48" s="102"/>
      <c r="K48" s="102"/>
      <c r="L48" s="102" t="s">
        <v>16</v>
      </c>
      <c r="M48" s="16">
        <f>IF(H48="V",$D48*H$15,IF(I48="V",$D48*I$15,IF(J48="V",$D48*J$15,IF(K48="V",$D48*K$15,IF(L48="V",$D48*L$15,0)))))*100</f>
        <v>7.5</v>
      </c>
      <c r="N48" s="103"/>
    </row>
    <row r="49" spans="1:14" x14ac:dyDescent="0.4">
      <c r="A49" s="92"/>
      <c r="B49" s="100"/>
      <c r="C49" s="103"/>
      <c r="D49" s="17"/>
      <c r="E49" s="17"/>
      <c r="F49" s="16"/>
      <c r="G49" s="16"/>
      <c r="H49" s="102"/>
      <c r="I49" s="102"/>
      <c r="J49" s="102"/>
      <c r="K49" s="102"/>
      <c r="L49" s="102"/>
      <c r="M49" s="16"/>
      <c r="N49" s="103"/>
    </row>
    <row r="50" spans="1:14" hidden="1" outlineLevel="1" x14ac:dyDescent="0.4">
      <c r="A50" s="92"/>
      <c r="B50" s="104">
        <v>2</v>
      </c>
      <c r="C50" s="103" t="s">
        <v>26</v>
      </c>
      <c r="D50" s="17"/>
      <c r="E50" s="17"/>
      <c r="F50" s="16"/>
      <c r="G50" s="16"/>
      <c r="H50" s="102"/>
      <c r="I50" s="102"/>
      <c r="J50" s="102"/>
      <c r="K50" s="102"/>
      <c r="L50" s="102"/>
      <c r="M50" s="16"/>
      <c r="N50" s="103"/>
    </row>
    <row r="51" spans="1:14" hidden="1" outlineLevel="1" x14ac:dyDescent="0.4">
      <c r="A51" s="92"/>
      <c r="B51" s="100" t="s">
        <v>6</v>
      </c>
      <c r="C51" s="103" t="s">
        <v>54</v>
      </c>
      <c r="D51" s="17"/>
      <c r="E51" s="17"/>
      <c r="F51" s="16"/>
      <c r="G51" s="16"/>
      <c r="H51" s="102"/>
      <c r="I51" s="102"/>
      <c r="J51" s="102"/>
      <c r="K51" s="102"/>
      <c r="L51" s="102"/>
      <c r="M51" s="16"/>
      <c r="N51" s="103"/>
    </row>
    <row r="52" spans="1:14" hidden="1" outlineLevel="1" x14ac:dyDescent="0.4">
      <c r="A52" s="92"/>
      <c r="B52" s="100" t="s">
        <v>6</v>
      </c>
      <c r="C52" s="103" t="s">
        <v>55</v>
      </c>
      <c r="D52" s="17"/>
      <c r="E52" s="17"/>
      <c r="F52" s="16"/>
      <c r="G52" s="16"/>
      <c r="H52" s="102"/>
      <c r="I52" s="102"/>
      <c r="J52" s="102"/>
      <c r="K52" s="102"/>
      <c r="L52" s="102"/>
      <c r="M52" s="16"/>
      <c r="N52" s="103"/>
    </row>
    <row r="53" spans="1:14" hidden="1" outlineLevel="1" x14ac:dyDescent="0.4">
      <c r="A53" s="92"/>
      <c r="B53" s="100" t="s">
        <v>6</v>
      </c>
      <c r="C53" s="103" t="s">
        <v>56</v>
      </c>
      <c r="D53" s="17"/>
      <c r="E53" s="17"/>
      <c r="F53" s="16"/>
      <c r="G53" s="16"/>
      <c r="H53" s="102"/>
      <c r="I53" s="102"/>
      <c r="J53" s="102"/>
      <c r="K53" s="102"/>
      <c r="L53" s="102"/>
      <c r="M53" s="16"/>
      <c r="N53" s="103"/>
    </row>
    <row r="54" spans="1:14" hidden="1" outlineLevel="1" x14ac:dyDescent="0.4">
      <c r="A54" s="92"/>
      <c r="B54" s="100"/>
      <c r="C54" s="103"/>
      <c r="D54" s="17"/>
      <c r="E54" s="17"/>
      <c r="F54" s="16"/>
      <c r="G54" s="16"/>
      <c r="H54" s="102"/>
      <c r="I54" s="102"/>
      <c r="J54" s="102"/>
      <c r="K54" s="102"/>
      <c r="L54" s="102"/>
      <c r="M54" s="16"/>
      <c r="N54" s="103"/>
    </row>
    <row r="55" spans="1:14" hidden="1" outlineLevel="1" x14ac:dyDescent="0.4">
      <c r="A55" s="92"/>
      <c r="B55" s="104">
        <v>3</v>
      </c>
      <c r="C55" s="103" t="s">
        <v>27</v>
      </c>
      <c r="D55" s="17"/>
      <c r="E55" s="17"/>
      <c r="F55" s="16"/>
      <c r="G55" s="16"/>
      <c r="H55" s="102"/>
      <c r="I55" s="102"/>
      <c r="J55" s="102"/>
      <c r="K55" s="102"/>
      <c r="L55" s="102"/>
      <c r="M55" s="16"/>
      <c r="N55" s="103"/>
    </row>
    <row r="56" spans="1:14" hidden="1" outlineLevel="1" x14ac:dyDescent="0.4">
      <c r="A56" s="92"/>
      <c r="B56" s="100" t="s">
        <v>6</v>
      </c>
      <c r="C56" s="103" t="s">
        <v>54</v>
      </c>
      <c r="D56" s="17"/>
      <c r="E56" s="17"/>
      <c r="F56" s="16"/>
      <c r="G56" s="16"/>
      <c r="H56" s="102"/>
      <c r="I56" s="102"/>
      <c r="J56" s="102"/>
      <c r="K56" s="102"/>
      <c r="L56" s="102"/>
      <c r="M56" s="16"/>
      <c r="N56" s="103"/>
    </row>
    <row r="57" spans="1:14" hidden="1" outlineLevel="1" x14ac:dyDescent="0.4">
      <c r="A57" s="92"/>
      <c r="B57" s="100" t="s">
        <v>6</v>
      </c>
      <c r="C57" s="103" t="s">
        <v>56</v>
      </c>
      <c r="D57" s="17"/>
      <c r="E57" s="17"/>
      <c r="F57" s="16"/>
      <c r="G57" s="16"/>
      <c r="H57" s="102"/>
      <c r="I57" s="102"/>
      <c r="J57" s="102"/>
      <c r="K57" s="102"/>
      <c r="L57" s="102"/>
      <c r="M57" s="16"/>
      <c r="N57" s="103"/>
    </row>
    <row r="58" spans="1:14" hidden="1" outlineLevel="1" x14ac:dyDescent="0.4">
      <c r="A58" s="92"/>
      <c r="B58" s="100" t="s">
        <v>6</v>
      </c>
      <c r="C58" s="103" t="s">
        <v>57</v>
      </c>
      <c r="D58" s="17"/>
      <c r="E58" s="17"/>
      <c r="F58" s="16"/>
      <c r="G58" s="16"/>
      <c r="H58" s="102"/>
      <c r="I58" s="102"/>
      <c r="J58" s="102"/>
      <c r="K58" s="102"/>
      <c r="L58" s="102"/>
      <c r="M58" s="16"/>
      <c r="N58" s="103"/>
    </row>
    <row r="59" spans="1:14" hidden="1" outlineLevel="1" x14ac:dyDescent="0.4">
      <c r="A59" s="92"/>
      <c r="B59" s="104"/>
      <c r="C59" s="103"/>
      <c r="D59" s="17"/>
      <c r="E59" s="17"/>
      <c r="F59" s="16"/>
      <c r="G59" s="16"/>
      <c r="H59" s="102"/>
      <c r="I59" s="102"/>
      <c r="J59" s="102"/>
      <c r="K59" s="102"/>
      <c r="L59" s="102"/>
      <c r="M59" s="16"/>
      <c r="N59" s="103"/>
    </row>
    <row r="60" spans="1:14" s="2" customFormat="1" collapsed="1" x14ac:dyDescent="0.4">
      <c r="A60" s="3"/>
      <c r="B60" s="48" t="s">
        <v>99</v>
      </c>
      <c r="C60" s="49" t="s">
        <v>46</v>
      </c>
      <c r="D60" s="51">
        <f>SUM(D61:D64)</f>
        <v>0.15</v>
      </c>
      <c r="E60" s="51"/>
      <c r="F60" s="54"/>
      <c r="G60" s="54"/>
      <c r="H60" s="59"/>
      <c r="I60" s="59"/>
      <c r="J60" s="59"/>
      <c r="K60" s="59"/>
      <c r="L60" s="59"/>
      <c r="M60" s="54">
        <f>SUM(M61:M64)</f>
        <v>11.5</v>
      </c>
      <c r="N60" s="49"/>
    </row>
    <row r="61" spans="1:14" x14ac:dyDescent="0.4">
      <c r="A61" s="99" t="s">
        <v>118</v>
      </c>
      <c r="B61" s="100" t="s">
        <v>6</v>
      </c>
      <c r="C61" s="101" t="str">
        <f>VLOOKUP($A61,PERTANYAAN!$A$18:$E$71,3,0)</f>
        <v>Antusiasme / Keinginan bergabung</v>
      </c>
      <c r="D61" s="46">
        <f>VLOOKUP($A61,PERTANYAAN!$A$18:$E$71,5,0)</f>
        <v>7.4999999999999997E-2</v>
      </c>
      <c r="E61" s="17"/>
      <c r="F61" s="16"/>
      <c r="G61" s="16"/>
      <c r="H61" s="102"/>
      <c r="I61" s="102"/>
      <c r="J61" s="102"/>
      <c r="K61" s="102"/>
      <c r="L61" s="102" t="s">
        <v>16</v>
      </c>
      <c r="M61" s="16">
        <f t="shared" ref="M61:M63" si="2">IF(H61="V",$D61*H$15,IF(I61="V",$D61*I$15,IF(J61="V",$D61*J$15,IF(K61="V",$D61*K$15,IF(L61="V",$D61*L$15,0)))))*100</f>
        <v>7.5</v>
      </c>
      <c r="N61" s="103"/>
    </row>
    <row r="62" spans="1:14" x14ac:dyDescent="0.4">
      <c r="A62" s="99" t="s">
        <v>119</v>
      </c>
      <c r="B62" s="100" t="s">
        <v>6</v>
      </c>
      <c r="C62" s="101" t="str">
        <f>VLOOKUP($A62,PERTANYAAN!$A$18:$E$71,3,0)</f>
        <v>Inisiatif</v>
      </c>
      <c r="D62" s="46">
        <f>VLOOKUP($A62,PERTANYAAN!$A$18:$E$71,5,0)</f>
        <v>0.05</v>
      </c>
      <c r="E62" s="17"/>
      <c r="F62" s="16"/>
      <c r="G62" s="16"/>
      <c r="H62" s="102"/>
      <c r="I62" s="102" t="s">
        <v>16</v>
      </c>
      <c r="J62" s="102"/>
      <c r="K62" s="102"/>
      <c r="L62" s="102"/>
      <c r="M62" s="16">
        <f t="shared" si="2"/>
        <v>2.0000000000000004</v>
      </c>
      <c r="N62" s="103"/>
    </row>
    <row r="63" spans="1:14" x14ac:dyDescent="0.4">
      <c r="A63" s="99" t="s">
        <v>120</v>
      </c>
      <c r="B63" s="100" t="s">
        <v>6</v>
      </c>
      <c r="C63" s="101" t="str">
        <f>VLOOKUP($A63,PERTANYAAN!$A$18:$E$71,3,0)</f>
        <v>Adaptif</v>
      </c>
      <c r="D63" s="46">
        <f>VLOOKUP($A63,PERTANYAAN!$A$18:$E$71,5,0)</f>
        <v>2.5000000000000001E-2</v>
      </c>
      <c r="E63" s="17"/>
      <c r="F63" s="16"/>
      <c r="G63" s="16"/>
      <c r="H63" s="102"/>
      <c r="I63" s="102"/>
      <c r="J63" s="102"/>
      <c r="K63" s="102" t="s">
        <v>16</v>
      </c>
      <c r="L63" s="102"/>
      <c r="M63" s="16">
        <f t="shared" si="2"/>
        <v>2.0000000000000004</v>
      </c>
      <c r="N63" s="103"/>
    </row>
    <row r="64" spans="1:14" x14ac:dyDescent="0.4">
      <c r="A64" s="92"/>
      <c r="B64" s="104"/>
      <c r="C64" s="103"/>
      <c r="D64" s="17"/>
      <c r="E64" s="17"/>
      <c r="F64" s="16"/>
      <c r="G64" s="16"/>
      <c r="H64" s="102"/>
      <c r="I64" s="102"/>
      <c r="J64" s="102"/>
      <c r="K64" s="102"/>
      <c r="L64" s="102"/>
      <c r="M64" s="16"/>
      <c r="N64" s="103"/>
    </row>
    <row r="65" spans="1:14" s="2" customFormat="1" x14ac:dyDescent="0.4">
      <c r="A65" s="3"/>
      <c r="B65" s="48" t="s">
        <v>100</v>
      </c>
      <c r="C65" s="49" t="s">
        <v>48</v>
      </c>
      <c r="D65" s="51">
        <f>SUM(D66:D68)</f>
        <v>0.05</v>
      </c>
      <c r="E65" s="51"/>
      <c r="F65" s="54"/>
      <c r="G65" s="54"/>
      <c r="H65" s="59"/>
      <c r="I65" s="59"/>
      <c r="J65" s="59"/>
      <c r="K65" s="59"/>
      <c r="L65" s="59"/>
      <c r="M65" s="54">
        <f>SUM(M66:M68)</f>
        <v>4.2</v>
      </c>
      <c r="N65" s="49"/>
    </row>
    <row r="66" spans="1:14" x14ac:dyDescent="0.4">
      <c r="A66" s="99" t="s">
        <v>121</v>
      </c>
      <c r="B66" s="100" t="s">
        <v>6</v>
      </c>
      <c r="C66" s="101" t="str">
        <f>VLOOKUP($A66,PERTANYAAN!$A$18:$E$71,3,0)</f>
        <v>Ekspektasi Salary (Mengukur Budget &amp; Skill)</v>
      </c>
      <c r="D66" s="46">
        <f>VLOOKUP($A66,PERTANYAAN!$A$18:$E$71,5,0)</f>
        <v>0.04</v>
      </c>
      <c r="E66" s="17"/>
      <c r="F66" s="16"/>
      <c r="G66" s="16"/>
      <c r="H66" s="102"/>
      <c r="I66" s="102"/>
      <c r="J66" s="102"/>
      <c r="K66" s="102" t="s">
        <v>16</v>
      </c>
      <c r="L66" s="102"/>
      <c r="M66" s="16">
        <f t="shared" ref="M66:M67" si="3">IF(H66="V",$D66*H$15,IF(I66="V",$D66*I$15,IF(J66="V",$D66*J$15,IF(K66="V",$D66*K$15,IF(L66="V",$D66*L$15,0)))))*100</f>
        <v>3.2</v>
      </c>
      <c r="N66" s="103"/>
    </row>
    <row r="67" spans="1:14" x14ac:dyDescent="0.4">
      <c r="A67" s="99" t="s">
        <v>122</v>
      </c>
      <c r="B67" s="100" t="s">
        <v>6</v>
      </c>
      <c r="C67" s="101" t="str">
        <f>VLOOKUP($A67,PERTANYAAN!$A$18:$E$71,3,0)</f>
        <v>Tujuan Karir</v>
      </c>
      <c r="D67" s="46">
        <f>VLOOKUP($A67,PERTANYAAN!$A$18:$E$71,5,0)</f>
        <v>0.01</v>
      </c>
      <c r="E67" s="17"/>
      <c r="F67" s="16"/>
      <c r="G67" s="16"/>
      <c r="H67" s="102"/>
      <c r="I67" s="102"/>
      <c r="J67" s="102"/>
      <c r="K67" s="102"/>
      <c r="L67" s="102" t="s">
        <v>16</v>
      </c>
      <c r="M67" s="16">
        <f t="shared" si="3"/>
        <v>1</v>
      </c>
      <c r="N67" s="103"/>
    </row>
    <row r="68" spans="1:14" x14ac:dyDescent="0.4">
      <c r="A68" s="99"/>
      <c r="B68" s="104"/>
      <c r="C68" s="103"/>
      <c r="D68" s="17"/>
      <c r="E68" s="17"/>
      <c r="F68" s="16"/>
      <c r="G68" s="16"/>
      <c r="H68" s="102"/>
      <c r="I68" s="102"/>
      <c r="J68" s="102"/>
      <c r="K68" s="102"/>
      <c r="L68" s="102"/>
      <c r="M68" s="16"/>
      <c r="N68" s="103"/>
    </row>
    <row r="69" spans="1:14" s="2" customFormat="1" x14ac:dyDescent="0.4">
      <c r="A69" s="3"/>
      <c r="B69" s="48" t="s">
        <v>101</v>
      </c>
      <c r="C69" s="49" t="s">
        <v>134</v>
      </c>
      <c r="D69" s="51">
        <f>SUM(D70:D70)</f>
        <v>0.05</v>
      </c>
      <c r="E69" s="51"/>
      <c r="F69" s="54"/>
      <c r="G69" s="54"/>
      <c r="H69" s="59"/>
      <c r="I69" s="59"/>
      <c r="J69" s="59"/>
      <c r="K69" s="59"/>
      <c r="L69" s="59"/>
      <c r="M69" s="54">
        <f>SUM(M70)</f>
        <v>5</v>
      </c>
      <c r="N69" s="49"/>
    </row>
    <row r="70" spans="1:14" x14ac:dyDescent="0.4">
      <c r="A70" s="99" t="s">
        <v>123</v>
      </c>
      <c r="B70" s="100" t="s">
        <v>6</v>
      </c>
      <c r="C70" s="101" t="str">
        <f>VLOOKUP($A70,PERTANYAAN!$A$18:$E$71,3,0)</f>
        <v>Pertanyaan Spesifik User</v>
      </c>
      <c r="D70" s="46">
        <f>VLOOKUP($A70,PERTANYAAN!$A$18:$E$71,5,0)</f>
        <v>0.05</v>
      </c>
      <c r="E70" s="17"/>
      <c r="F70" s="16"/>
      <c r="G70" s="16"/>
      <c r="H70" s="102"/>
      <c r="I70" s="102"/>
      <c r="J70" s="102"/>
      <c r="K70" s="102"/>
      <c r="L70" s="102" t="s">
        <v>16</v>
      </c>
      <c r="M70" s="16">
        <f t="shared" ref="M70" si="4">IF(H70="V",$D70*H$15,IF(I70="V",$D70*I$15,IF(J70="V",$D70*J$15,IF(K70="V",$D70*K$15,IF(L70="V",$D70*L$15,0)))))*100</f>
        <v>5</v>
      </c>
      <c r="N70" s="103"/>
    </row>
    <row r="71" spans="1:14" x14ac:dyDescent="0.4">
      <c r="B71" s="105"/>
      <c r="C71" s="106"/>
      <c r="D71" s="22"/>
      <c r="E71" s="22"/>
      <c r="F71" s="21"/>
      <c r="G71" s="21"/>
      <c r="H71" s="107"/>
      <c r="I71" s="107"/>
      <c r="J71" s="107"/>
      <c r="K71" s="107"/>
      <c r="L71" s="107"/>
      <c r="M71" s="21"/>
      <c r="N71" s="106"/>
    </row>
    <row r="73" spans="1:14" x14ac:dyDescent="0.4">
      <c r="H73" s="26" t="s">
        <v>61</v>
      </c>
    </row>
    <row r="74" spans="1:14" x14ac:dyDescent="0.4">
      <c r="H74" s="94" t="s">
        <v>39</v>
      </c>
      <c r="I74" s="94" t="s">
        <v>29</v>
      </c>
      <c r="J74" s="95" t="s">
        <v>69</v>
      </c>
    </row>
    <row r="75" spans="1:14" x14ac:dyDescent="0.4">
      <c r="H75" s="94" t="s">
        <v>40</v>
      </c>
      <c r="I75" s="94" t="s">
        <v>29</v>
      </c>
      <c r="J75" s="95" t="s">
        <v>70</v>
      </c>
    </row>
    <row r="76" spans="1:14" x14ac:dyDescent="0.4">
      <c r="H76" s="94" t="s">
        <v>41</v>
      </c>
      <c r="I76" s="94" t="s">
        <v>29</v>
      </c>
      <c r="J76" s="95" t="s">
        <v>71</v>
      </c>
    </row>
    <row r="77" spans="1:14" x14ac:dyDescent="0.4">
      <c r="H77" s="94" t="s">
        <v>42</v>
      </c>
      <c r="I77" s="94" t="s">
        <v>29</v>
      </c>
      <c r="J77" s="95" t="s">
        <v>72</v>
      </c>
    </row>
    <row r="78" spans="1:14" x14ac:dyDescent="0.4">
      <c r="H78" s="94" t="s">
        <v>43</v>
      </c>
      <c r="I78" s="94" t="s">
        <v>29</v>
      </c>
      <c r="J78" s="95" t="s">
        <v>73</v>
      </c>
    </row>
  </sheetData>
  <mergeCells count="8"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A72C-2A6C-488A-B7D3-1979BD5CE1D8}">
  <sheetPr>
    <tabColor rgb="FF00B0F0"/>
  </sheetPr>
  <dimension ref="A1:N78"/>
  <sheetViews>
    <sheetView zoomScaleNormal="100" workbookViewId="0">
      <pane xSplit="1" ySplit="14" topLeftCell="B15" activePane="bottomRight" state="frozen"/>
      <selection activeCell="N23" sqref="N23"/>
      <selection pane="topRight" activeCell="N23" sqref="N23"/>
      <selection pane="bottomLeft" activeCell="N23" sqref="N23"/>
      <selection pane="bottomRight" activeCell="N23" sqref="N23"/>
    </sheetView>
  </sheetViews>
  <sheetFormatPr defaultRowHeight="14.6" outlineLevelRow="1" x14ac:dyDescent="0.4"/>
  <cols>
    <col min="1" max="1" width="17.69140625" style="93" customWidth="1"/>
    <col min="2" max="2" width="4.3828125" style="92" bestFit="1" customWidth="1"/>
    <col min="3" max="3" width="40.15234375" style="93" bestFit="1" customWidth="1"/>
    <col min="4" max="4" width="9.15234375" style="5"/>
    <col min="5" max="5" width="1.69140625" style="5" customWidth="1"/>
    <col min="6" max="7" width="9.15234375" style="4"/>
    <col min="8" max="12" width="9.15234375" style="94"/>
    <col min="13" max="13" width="9.15234375" style="4"/>
    <col min="14" max="14" width="16.84375" style="93" customWidth="1"/>
    <col min="15" max="16384" width="9.23046875" style="93"/>
  </cols>
  <sheetData>
    <row r="1" spans="1:14" x14ac:dyDescent="0.4">
      <c r="A1" s="2" t="s">
        <v>125</v>
      </c>
    </row>
    <row r="2" spans="1:14" x14ac:dyDescent="0.4">
      <c r="A2" s="2" t="s">
        <v>0</v>
      </c>
    </row>
    <row r="5" spans="1:14" x14ac:dyDescent="0.4">
      <c r="A5" s="2" t="s">
        <v>1</v>
      </c>
      <c r="B5" s="92" t="s">
        <v>29</v>
      </c>
      <c r="C5" s="2" t="s">
        <v>30</v>
      </c>
      <c r="L5" s="26" t="s">
        <v>61</v>
      </c>
      <c r="M5" s="94"/>
      <c r="N5" s="94"/>
    </row>
    <row r="6" spans="1:14" x14ac:dyDescent="0.4">
      <c r="A6" s="2" t="s">
        <v>20</v>
      </c>
      <c r="B6" s="92" t="s">
        <v>29</v>
      </c>
      <c r="C6" s="93" t="s">
        <v>31</v>
      </c>
      <c r="L6" s="94" t="s">
        <v>39</v>
      </c>
      <c r="M6" s="94" t="s">
        <v>29</v>
      </c>
      <c r="N6" s="95" t="s">
        <v>69</v>
      </c>
    </row>
    <row r="7" spans="1:14" x14ac:dyDescent="0.4">
      <c r="A7" s="2" t="s">
        <v>32</v>
      </c>
      <c r="B7" s="92" t="s">
        <v>29</v>
      </c>
      <c r="C7" s="93" t="s">
        <v>33</v>
      </c>
      <c r="L7" s="94" t="s">
        <v>40</v>
      </c>
      <c r="M7" s="94" t="s">
        <v>29</v>
      </c>
      <c r="N7" s="95" t="s">
        <v>70</v>
      </c>
    </row>
    <row r="8" spans="1:14" x14ac:dyDescent="0.4">
      <c r="A8" s="2" t="s">
        <v>34</v>
      </c>
      <c r="B8" s="92" t="s">
        <v>29</v>
      </c>
      <c r="C8" s="93" t="s">
        <v>35</v>
      </c>
      <c r="L8" s="94" t="s">
        <v>41</v>
      </c>
      <c r="M8" s="94" t="s">
        <v>29</v>
      </c>
      <c r="N8" s="95" t="s">
        <v>71</v>
      </c>
    </row>
    <row r="9" spans="1:14" x14ac:dyDescent="0.4">
      <c r="A9" s="2" t="s">
        <v>28</v>
      </c>
      <c r="B9" s="92" t="s">
        <v>29</v>
      </c>
      <c r="C9" s="93" t="s">
        <v>83</v>
      </c>
      <c r="L9" s="94" t="s">
        <v>42</v>
      </c>
      <c r="M9" s="94" t="s">
        <v>29</v>
      </c>
      <c r="N9" s="95" t="s">
        <v>72</v>
      </c>
    </row>
    <row r="10" spans="1:14" x14ac:dyDescent="0.4">
      <c r="A10" s="2" t="s">
        <v>38</v>
      </c>
      <c r="B10" s="92" t="s">
        <v>29</v>
      </c>
      <c r="C10" s="2" t="s">
        <v>62</v>
      </c>
      <c r="D10" s="6" t="s">
        <v>91</v>
      </c>
      <c r="L10" s="94" t="s">
        <v>43</v>
      </c>
      <c r="M10" s="94" t="s">
        <v>29</v>
      </c>
      <c r="N10" s="95" t="s">
        <v>73</v>
      </c>
    </row>
    <row r="11" spans="1:14" x14ac:dyDescent="0.4">
      <c r="A11" s="2" t="s">
        <v>67</v>
      </c>
      <c r="B11" s="92" t="s">
        <v>29</v>
      </c>
      <c r="C11" s="24">
        <f>M16</f>
        <v>88</v>
      </c>
    </row>
    <row r="13" spans="1:14" s="2" customFormat="1" x14ac:dyDescent="0.4">
      <c r="A13" s="67" t="s">
        <v>124</v>
      </c>
      <c r="B13" s="68" t="s">
        <v>2</v>
      </c>
      <c r="C13" s="68" t="s">
        <v>3</v>
      </c>
      <c r="D13" s="70" t="s">
        <v>19</v>
      </c>
      <c r="E13" s="42"/>
      <c r="F13" s="65" t="s">
        <v>18</v>
      </c>
      <c r="G13" s="65"/>
      <c r="H13" s="68" t="s">
        <v>37</v>
      </c>
      <c r="I13" s="68"/>
      <c r="J13" s="68"/>
      <c r="K13" s="68"/>
      <c r="L13" s="68"/>
      <c r="M13" s="65" t="s">
        <v>17</v>
      </c>
      <c r="N13" s="66" t="s">
        <v>61</v>
      </c>
    </row>
    <row r="14" spans="1:14" s="2" customFormat="1" x14ac:dyDescent="0.4">
      <c r="A14" s="67"/>
      <c r="B14" s="68"/>
      <c r="C14" s="96"/>
      <c r="D14" s="71"/>
      <c r="E14" s="44"/>
      <c r="F14" s="43" t="s">
        <v>14</v>
      </c>
      <c r="G14" s="43" t="s">
        <v>15</v>
      </c>
      <c r="H14" s="41" t="s">
        <v>39</v>
      </c>
      <c r="I14" s="41" t="s">
        <v>40</v>
      </c>
      <c r="J14" s="41" t="s">
        <v>41</v>
      </c>
      <c r="K14" s="41" t="s">
        <v>42</v>
      </c>
      <c r="L14" s="41" t="s">
        <v>43</v>
      </c>
      <c r="M14" s="65"/>
      <c r="N14" s="66"/>
    </row>
    <row r="15" spans="1:14" s="2" customFormat="1" x14ac:dyDescent="0.4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4">
      <c r="A16" s="3"/>
      <c r="B16" s="39"/>
      <c r="C16" s="63" t="s">
        <v>65</v>
      </c>
      <c r="D16" s="39"/>
      <c r="E16" s="39"/>
      <c r="F16" s="61"/>
      <c r="G16" s="61"/>
      <c r="H16" s="39"/>
      <c r="I16" s="39"/>
      <c r="J16" s="39"/>
      <c r="K16" s="39"/>
      <c r="L16" s="39"/>
      <c r="M16" s="40">
        <f>M17+M21+M27+M43+M60+M65+M69</f>
        <v>88</v>
      </c>
      <c r="N16" s="35"/>
    </row>
    <row r="17" spans="1:14" x14ac:dyDescent="0.4">
      <c r="B17" s="48" t="s">
        <v>66</v>
      </c>
      <c r="C17" s="49" t="s">
        <v>8</v>
      </c>
      <c r="D17" s="51">
        <f>SUM(D18:D19)</f>
        <v>0.1</v>
      </c>
      <c r="E17" s="51"/>
      <c r="F17" s="54"/>
      <c r="G17" s="54"/>
      <c r="H17" s="97"/>
      <c r="I17" s="97"/>
      <c r="J17" s="97"/>
      <c r="K17" s="97"/>
      <c r="L17" s="97"/>
      <c r="M17" s="54">
        <f>SUM(M18:M20)</f>
        <v>6</v>
      </c>
      <c r="N17" s="98"/>
    </row>
    <row r="18" spans="1:14" x14ac:dyDescent="0.4">
      <c r="A18" s="99" t="s">
        <v>102</v>
      </c>
      <c r="B18" s="100">
        <v>1</v>
      </c>
      <c r="C18" s="101" t="str">
        <f>VLOOKUP($A18,PERTANYAAN!$A$18:$E$71,3,0)</f>
        <v>Pengalaman di dalam Daniswara Group</v>
      </c>
      <c r="D18" s="46">
        <f>VLOOKUP($A18,PERTANYAAN!$A$18:$E$71,5,0)</f>
        <v>0.06</v>
      </c>
      <c r="E18" s="17"/>
      <c r="F18" s="16" t="s">
        <v>16</v>
      </c>
      <c r="G18" s="16"/>
      <c r="H18" s="102"/>
      <c r="I18" s="102"/>
      <c r="J18" s="102"/>
      <c r="K18" s="102"/>
      <c r="L18" s="102"/>
      <c r="M18" s="16">
        <f>IF(F18="V",D18*100,0)</f>
        <v>6</v>
      </c>
      <c r="N18" s="103"/>
    </row>
    <row r="19" spans="1:14" x14ac:dyDescent="0.4">
      <c r="A19" s="99" t="s">
        <v>103</v>
      </c>
      <c r="B19" s="100">
        <f>B18+1</f>
        <v>2</v>
      </c>
      <c r="C19" s="101" t="str">
        <f>VLOOKUP($A19,PERTANYAAN!$A$18:$E$71,3,0)</f>
        <v>Pengalaman di luar Daniswara Group</v>
      </c>
      <c r="D19" s="46">
        <f>VLOOKUP($A19,PERTANYAAN!$A$18:$E$71,5,0)</f>
        <v>0.04</v>
      </c>
      <c r="E19" s="17"/>
      <c r="F19" s="16"/>
      <c r="G19" s="16"/>
      <c r="H19" s="102"/>
      <c r="I19" s="102"/>
      <c r="J19" s="102"/>
      <c r="K19" s="102"/>
      <c r="L19" s="102"/>
      <c r="M19" s="16">
        <f>IF(F19="V",D19*100,0)</f>
        <v>0</v>
      </c>
      <c r="N19" s="103"/>
    </row>
    <row r="20" spans="1:14" x14ac:dyDescent="0.4">
      <c r="A20" s="92"/>
      <c r="B20" s="104"/>
      <c r="C20" s="103"/>
      <c r="D20" s="17"/>
      <c r="E20" s="17"/>
      <c r="F20" s="16"/>
      <c r="G20" s="16"/>
      <c r="H20" s="102"/>
      <c r="I20" s="102"/>
      <c r="J20" s="102"/>
      <c r="K20" s="102"/>
      <c r="L20" s="102"/>
      <c r="M20" s="16"/>
      <c r="N20" s="103"/>
    </row>
    <row r="21" spans="1:14" x14ac:dyDescent="0.4">
      <c r="A21" s="92"/>
      <c r="B21" s="48" t="s">
        <v>42</v>
      </c>
      <c r="C21" s="49" t="s">
        <v>9</v>
      </c>
      <c r="D21" s="51">
        <f>SUM(D22:D25)</f>
        <v>0.05</v>
      </c>
      <c r="E21" s="51"/>
      <c r="F21" s="54"/>
      <c r="G21" s="54"/>
      <c r="H21" s="97"/>
      <c r="I21" s="97"/>
      <c r="J21" s="97"/>
      <c r="K21" s="97"/>
      <c r="L21" s="97"/>
      <c r="M21" s="54">
        <f>SUM(M22:M25)</f>
        <v>5</v>
      </c>
      <c r="N21" s="98"/>
    </row>
    <row r="22" spans="1:14" x14ac:dyDescent="0.4">
      <c r="A22" s="99" t="s">
        <v>104</v>
      </c>
      <c r="B22" s="100">
        <v>1</v>
      </c>
      <c r="C22" s="101" t="str">
        <f>VLOOKUP($A22,PERTANYAAN!$A$18:$E$71,3,0)</f>
        <v>Identitas (KTP &amp; KK)</v>
      </c>
      <c r="D22" s="46">
        <f>VLOOKUP($A22,PERTANYAAN!$A$18:$E$71,5,0)</f>
        <v>0.01</v>
      </c>
      <c r="E22" s="17"/>
      <c r="F22" s="16" t="s">
        <v>16</v>
      </c>
      <c r="G22" s="16"/>
      <c r="H22" s="102"/>
      <c r="I22" s="102"/>
      <c r="J22" s="102"/>
      <c r="K22" s="102"/>
      <c r="L22" s="102"/>
      <c r="M22" s="16">
        <f>IF(F22="V",D22*100,0)</f>
        <v>1</v>
      </c>
      <c r="N22" s="103"/>
    </row>
    <row r="23" spans="1:14" x14ac:dyDescent="0.4">
      <c r="A23" s="99" t="s">
        <v>105</v>
      </c>
      <c r="B23" s="100">
        <f>B22+1</f>
        <v>2</v>
      </c>
      <c r="C23" s="101" t="str">
        <f>VLOOKUP($A23,PERTANYAAN!$A$18:$E$71,3,0)</f>
        <v>SIM A (utk jabatan di Divisi Operasi)</v>
      </c>
      <c r="D23" s="46">
        <f>VLOOKUP($A23,PERTANYAAN!$A$18:$E$71,5,0)</f>
        <v>0.02</v>
      </c>
      <c r="E23" s="17"/>
      <c r="F23" s="16" t="s">
        <v>16</v>
      </c>
      <c r="G23" s="16"/>
      <c r="H23" s="102"/>
      <c r="I23" s="102"/>
      <c r="J23" s="102"/>
      <c r="K23" s="102"/>
      <c r="L23" s="102"/>
      <c r="M23" s="16">
        <f>IF(F23="V",D23*100,0)</f>
        <v>2</v>
      </c>
      <c r="N23" s="103" t="s">
        <v>155</v>
      </c>
    </row>
    <row r="24" spans="1:14" x14ac:dyDescent="0.4">
      <c r="A24" s="99" t="s">
        <v>106</v>
      </c>
      <c r="B24" s="100">
        <f t="shared" ref="B24:B25" si="0">B23+1</f>
        <v>3</v>
      </c>
      <c r="C24" s="101" t="str">
        <f>VLOOKUP($A24,PERTANYAAN!$A$18:$E$71,3,0)</f>
        <v>SIM C</v>
      </c>
      <c r="D24" s="46">
        <f>VLOOKUP($A24,PERTANYAAN!$A$18:$E$71,5,0)</f>
        <v>0.01</v>
      </c>
      <c r="E24" s="17"/>
      <c r="F24" s="16" t="s">
        <v>16</v>
      </c>
      <c r="G24" s="16"/>
      <c r="H24" s="102"/>
      <c r="I24" s="102"/>
      <c r="J24" s="102"/>
      <c r="K24" s="102"/>
      <c r="L24" s="102"/>
      <c r="M24" s="16">
        <f>IF(F24="V",D24*100,0)</f>
        <v>1</v>
      </c>
      <c r="N24" s="103"/>
    </row>
    <row r="25" spans="1:14" x14ac:dyDescent="0.4">
      <c r="A25" s="99" t="s">
        <v>107</v>
      </c>
      <c r="B25" s="100">
        <f t="shared" si="0"/>
        <v>4</v>
      </c>
      <c r="C25" s="101" t="str">
        <f>VLOOKUP($A25,PERTANYAAN!$A$18:$E$71,3,0)</f>
        <v>NPWP</v>
      </c>
      <c r="D25" s="46">
        <f>VLOOKUP($A25,PERTANYAAN!$A$18:$E$71,5,0)</f>
        <v>0.01</v>
      </c>
      <c r="E25" s="17"/>
      <c r="F25" s="16" t="s">
        <v>16</v>
      </c>
      <c r="G25" s="16"/>
      <c r="H25" s="102"/>
      <c r="I25" s="102"/>
      <c r="J25" s="102"/>
      <c r="K25" s="102"/>
      <c r="L25" s="102"/>
      <c r="M25" s="16">
        <f>IF(F25="V",D25*100,0)</f>
        <v>1</v>
      </c>
      <c r="N25" s="103"/>
    </row>
    <row r="26" spans="1:14" x14ac:dyDescent="0.4">
      <c r="A26" s="92"/>
      <c r="B26" s="104"/>
      <c r="C26" s="103"/>
      <c r="D26" s="17"/>
      <c r="E26" s="17"/>
      <c r="F26" s="16"/>
      <c r="G26" s="16"/>
      <c r="H26" s="102"/>
      <c r="I26" s="102"/>
      <c r="J26" s="102"/>
      <c r="K26" s="102"/>
      <c r="L26" s="102"/>
      <c r="M26" s="16"/>
      <c r="N26" s="103"/>
    </row>
    <row r="27" spans="1:14" x14ac:dyDescent="0.4">
      <c r="A27" s="92"/>
      <c r="B27" s="48" t="s">
        <v>97</v>
      </c>
      <c r="C27" s="49" t="s">
        <v>21</v>
      </c>
      <c r="D27" s="51">
        <f>D28</f>
        <v>0.35000000000000003</v>
      </c>
      <c r="E27" s="57"/>
      <c r="F27" s="60"/>
      <c r="G27" s="60"/>
      <c r="H27" s="97"/>
      <c r="I27" s="97"/>
      <c r="J27" s="97"/>
      <c r="K27" s="97"/>
      <c r="L27" s="97"/>
      <c r="M27" s="54">
        <f>M28</f>
        <v>27</v>
      </c>
      <c r="N27" s="98"/>
    </row>
    <row r="28" spans="1:14" x14ac:dyDescent="0.4">
      <c r="A28" s="99" t="s">
        <v>108</v>
      </c>
      <c r="B28" s="100">
        <v>1</v>
      </c>
      <c r="C28" s="101" t="str">
        <f>VLOOKUP($A28,PERTANYAAN!$A$18:$E$71,3,0)</f>
        <v>Operasi / Logistik</v>
      </c>
      <c r="D28" s="46">
        <f>VLOOKUP($A28,PERTANYAAN!$A$18:$E$71,5,0)</f>
        <v>0.35000000000000003</v>
      </c>
      <c r="E28" s="17"/>
      <c r="F28" s="16"/>
      <c r="G28" s="16"/>
      <c r="H28" s="102"/>
      <c r="I28" s="102"/>
      <c r="J28" s="102"/>
      <c r="K28" s="102"/>
      <c r="L28" s="102"/>
      <c r="M28" s="16">
        <f>SUM(M29:M33)</f>
        <v>27</v>
      </c>
      <c r="N28" s="103"/>
    </row>
    <row r="29" spans="1:14" x14ac:dyDescent="0.4">
      <c r="A29" s="99" t="s">
        <v>109</v>
      </c>
      <c r="B29" s="100" t="s">
        <v>6</v>
      </c>
      <c r="C29" s="101" t="str">
        <f>VLOOKUP($A29,PERTANYAAN!$A$18:$E$71,3,0)</f>
        <v>Skill Mengemudi</v>
      </c>
      <c r="D29" s="46">
        <f>VLOOKUP($A29,PERTANYAAN!$A$18:$E$71,5,0)</f>
        <v>0.15</v>
      </c>
      <c r="E29" s="17"/>
      <c r="F29" s="16"/>
      <c r="G29" s="16"/>
      <c r="H29" s="102"/>
      <c r="I29" s="102"/>
      <c r="J29" s="102" t="s">
        <v>16</v>
      </c>
      <c r="K29" s="102"/>
      <c r="L29" s="102"/>
      <c r="M29" s="16">
        <f>IF(H29="V",$D29*H$15,IF(I29="V",$D29*I$15,IF(J29="V",$D29*J$15,IF(K29="V",$D29*K$15,IF(L29="V",$D29*L$15,0)))))*100</f>
        <v>9</v>
      </c>
      <c r="N29" s="103"/>
    </row>
    <row r="30" spans="1:14" x14ac:dyDescent="0.4">
      <c r="A30" s="99" t="s">
        <v>110</v>
      </c>
      <c r="B30" s="100" t="s">
        <v>6</v>
      </c>
      <c r="C30" s="101" t="str">
        <f>VLOOKUP($A30,PERTANYAAN!$A$18:$E$71,3,0)</f>
        <v>Flow Administrasi Logistik</v>
      </c>
      <c r="D30" s="46">
        <f>VLOOKUP($A30,PERTANYAAN!$A$18:$E$71,5,0)</f>
        <v>0.1</v>
      </c>
      <c r="E30" s="17"/>
      <c r="F30" s="16"/>
      <c r="G30" s="16"/>
      <c r="H30" s="102"/>
      <c r="I30" s="102"/>
      <c r="J30" s="102"/>
      <c r="K30" s="102" t="s">
        <v>16</v>
      </c>
      <c r="L30" s="102"/>
      <c r="M30" s="16">
        <f t="shared" ref="M30:M32" si="1">IF(H30="V",$D30*H$15,IF(I30="V",$D30*I$15,IF(J30="V",$D30*J$15,IF(K30="V",$D30*K$15,IF(L30="V",$D30*L$15,0)))))*100</f>
        <v>8.0000000000000018</v>
      </c>
      <c r="N30" s="103"/>
    </row>
    <row r="31" spans="1:14" x14ac:dyDescent="0.4">
      <c r="A31" s="99" t="s">
        <v>111</v>
      </c>
      <c r="B31" s="100" t="s">
        <v>6</v>
      </c>
      <c r="C31" s="101" t="str">
        <f>VLOOKUP($A31,PERTANYAAN!$A$18:$E$71,3,0)</f>
        <v>Pengetahuan terkait logistik</v>
      </c>
      <c r="D31" s="46">
        <f>VLOOKUP($A31,PERTANYAAN!$A$18:$E$71,5,0)</f>
        <v>2.5000000000000001E-2</v>
      </c>
      <c r="E31" s="17"/>
      <c r="F31" s="16"/>
      <c r="G31" s="16"/>
      <c r="H31" s="102"/>
      <c r="I31" s="102"/>
      <c r="J31" s="102"/>
      <c r="K31" s="102"/>
      <c r="L31" s="102" t="s">
        <v>16</v>
      </c>
      <c r="M31" s="16">
        <f t="shared" si="1"/>
        <v>2.5</v>
      </c>
      <c r="N31" s="103"/>
    </row>
    <row r="32" spans="1:14" x14ac:dyDescent="0.4">
      <c r="A32" s="99" t="s">
        <v>112</v>
      </c>
      <c r="B32" s="100" t="s">
        <v>6</v>
      </c>
      <c r="C32" s="101" t="str">
        <f>VLOOKUP($A32,PERTANYAAN!$A$18:$E$71,3,0)</f>
        <v>Pengalaman di Bongkar Muat</v>
      </c>
      <c r="D32" s="46">
        <f>VLOOKUP($A32,PERTANYAAN!$A$18:$E$71,5,0)</f>
        <v>7.4999999999999997E-2</v>
      </c>
      <c r="E32" s="17"/>
      <c r="F32" s="16"/>
      <c r="G32" s="16"/>
      <c r="H32" s="102"/>
      <c r="I32" s="102"/>
      <c r="J32" s="102"/>
      <c r="K32" s="102"/>
      <c r="L32" s="102" t="s">
        <v>16</v>
      </c>
      <c r="M32" s="16">
        <f t="shared" si="1"/>
        <v>7.5</v>
      </c>
      <c r="N32" s="103"/>
    </row>
    <row r="33" spans="1:14" x14ac:dyDescent="0.4">
      <c r="A33" s="92"/>
      <c r="B33" s="100"/>
      <c r="C33" s="103"/>
      <c r="D33" s="17"/>
      <c r="E33" s="17"/>
      <c r="F33" s="16"/>
      <c r="G33" s="16"/>
      <c r="H33" s="102"/>
      <c r="I33" s="102"/>
      <c r="J33" s="102"/>
      <c r="K33" s="102"/>
      <c r="L33" s="102"/>
      <c r="M33" s="16"/>
      <c r="N33" s="103"/>
    </row>
    <row r="34" spans="1:14" hidden="1" outlineLevel="1" x14ac:dyDescent="0.4">
      <c r="A34" s="92"/>
      <c r="B34" s="100">
        <f>B28+1</f>
        <v>2</v>
      </c>
      <c r="C34" s="103" t="s">
        <v>22</v>
      </c>
      <c r="D34" s="17">
        <f>SUM(D35:D37)</f>
        <v>0.35</v>
      </c>
      <c r="E34" s="17"/>
      <c r="F34" s="16"/>
      <c r="G34" s="16"/>
      <c r="H34" s="102"/>
      <c r="I34" s="102"/>
      <c r="J34" s="102"/>
      <c r="K34" s="102"/>
      <c r="L34" s="102"/>
      <c r="M34" s="16"/>
      <c r="N34" s="103"/>
    </row>
    <row r="35" spans="1:14" hidden="1" outlineLevel="1" x14ac:dyDescent="0.4">
      <c r="A35" s="92"/>
      <c r="B35" s="100" t="s">
        <v>6</v>
      </c>
      <c r="C35" s="103" t="s">
        <v>44</v>
      </c>
      <c r="D35" s="17">
        <v>0.15</v>
      </c>
      <c r="E35" s="17"/>
      <c r="F35" s="16"/>
      <c r="G35" s="16"/>
      <c r="H35" s="102"/>
      <c r="I35" s="102"/>
      <c r="J35" s="102"/>
      <c r="K35" s="102"/>
      <c r="L35" s="102"/>
      <c r="M35" s="16"/>
      <c r="N35" s="103"/>
    </row>
    <row r="36" spans="1:14" hidden="1" outlineLevel="1" x14ac:dyDescent="0.4">
      <c r="A36" s="92"/>
      <c r="B36" s="100" t="s">
        <v>6</v>
      </c>
      <c r="C36" s="103" t="s">
        <v>50</v>
      </c>
      <c r="D36" s="17">
        <v>0.2</v>
      </c>
      <c r="E36" s="17"/>
      <c r="F36" s="16"/>
      <c r="G36" s="16"/>
      <c r="H36" s="102"/>
      <c r="I36" s="102"/>
      <c r="J36" s="102"/>
      <c r="K36" s="102"/>
      <c r="L36" s="102"/>
      <c r="M36" s="16"/>
      <c r="N36" s="103"/>
    </row>
    <row r="37" spans="1:14" hidden="1" outlineLevel="1" x14ac:dyDescent="0.4">
      <c r="A37" s="92"/>
      <c r="B37" s="100"/>
      <c r="C37" s="103"/>
      <c r="D37" s="17"/>
      <c r="E37" s="17"/>
      <c r="F37" s="16"/>
      <c r="G37" s="16"/>
      <c r="H37" s="102"/>
      <c r="I37" s="102"/>
      <c r="J37" s="102"/>
      <c r="K37" s="102"/>
      <c r="L37" s="102"/>
      <c r="M37" s="16"/>
      <c r="N37" s="103"/>
    </row>
    <row r="38" spans="1:14" hidden="1" outlineLevel="1" x14ac:dyDescent="0.4">
      <c r="A38" s="92"/>
      <c r="B38" s="104">
        <v>3</v>
      </c>
      <c r="C38" s="103" t="s">
        <v>23</v>
      </c>
      <c r="D38" s="17"/>
      <c r="E38" s="17"/>
      <c r="F38" s="16"/>
      <c r="G38" s="16"/>
      <c r="H38" s="102"/>
      <c r="I38" s="102"/>
      <c r="J38" s="102"/>
      <c r="K38" s="102"/>
      <c r="L38" s="102"/>
      <c r="M38" s="16"/>
      <c r="N38" s="103"/>
    </row>
    <row r="39" spans="1:14" hidden="1" outlineLevel="1" x14ac:dyDescent="0.4">
      <c r="A39" s="92"/>
      <c r="B39" s="100" t="s">
        <v>6</v>
      </c>
      <c r="C39" s="103" t="s">
        <v>52</v>
      </c>
      <c r="D39" s="17"/>
      <c r="E39" s="17"/>
      <c r="F39" s="16"/>
      <c r="G39" s="16"/>
      <c r="H39" s="102"/>
      <c r="I39" s="102"/>
      <c r="J39" s="102"/>
      <c r="K39" s="102"/>
      <c r="L39" s="102"/>
      <c r="M39" s="16"/>
      <c r="N39" s="103"/>
    </row>
    <row r="40" spans="1:14" hidden="1" outlineLevel="1" x14ac:dyDescent="0.4">
      <c r="A40" s="92"/>
      <c r="B40" s="100" t="s">
        <v>6</v>
      </c>
      <c r="C40" s="103" t="s">
        <v>53</v>
      </c>
      <c r="D40" s="17"/>
      <c r="E40" s="17"/>
      <c r="F40" s="16"/>
      <c r="G40" s="16"/>
      <c r="H40" s="102"/>
      <c r="I40" s="102"/>
      <c r="J40" s="102"/>
      <c r="K40" s="102"/>
      <c r="L40" s="102"/>
      <c r="M40" s="16"/>
      <c r="N40" s="103"/>
    </row>
    <row r="41" spans="1:14" hidden="1" outlineLevel="1" x14ac:dyDescent="0.4">
      <c r="A41" s="92"/>
      <c r="B41" s="100" t="s">
        <v>6</v>
      </c>
      <c r="C41" s="103"/>
      <c r="D41" s="17"/>
      <c r="E41" s="17"/>
      <c r="F41" s="16"/>
      <c r="G41" s="16"/>
      <c r="H41" s="102"/>
      <c r="I41" s="102"/>
      <c r="J41" s="102"/>
      <c r="K41" s="102"/>
      <c r="L41" s="102"/>
      <c r="M41" s="16"/>
      <c r="N41" s="103"/>
    </row>
    <row r="42" spans="1:14" hidden="1" outlineLevel="1" x14ac:dyDescent="0.4">
      <c r="A42" s="92"/>
      <c r="B42" s="104"/>
      <c r="C42" s="103"/>
      <c r="D42" s="17"/>
      <c r="E42" s="17"/>
      <c r="F42" s="16"/>
      <c r="G42" s="16"/>
      <c r="H42" s="102"/>
      <c r="I42" s="102"/>
      <c r="J42" s="102"/>
      <c r="K42" s="102"/>
      <c r="L42" s="102"/>
      <c r="M42" s="16"/>
      <c r="N42" s="103"/>
    </row>
    <row r="43" spans="1:14" s="2" customFormat="1" collapsed="1" x14ac:dyDescent="0.4">
      <c r="A43" s="3"/>
      <c r="B43" s="48" t="s">
        <v>98</v>
      </c>
      <c r="C43" s="49" t="s">
        <v>24</v>
      </c>
      <c r="D43" s="51">
        <f>D44</f>
        <v>0.25</v>
      </c>
      <c r="E43" s="51"/>
      <c r="F43" s="54"/>
      <c r="G43" s="54"/>
      <c r="H43" s="59"/>
      <c r="I43" s="59"/>
      <c r="J43" s="59"/>
      <c r="K43" s="59"/>
      <c r="L43" s="59"/>
      <c r="M43" s="54">
        <f>M44</f>
        <v>25</v>
      </c>
      <c r="N43" s="49"/>
    </row>
    <row r="44" spans="1:14" x14ac:dyDescent="0.4">
      <c r="A44" s="92" t="s">
        <v>113</v>
      </c>
      <c r="B44" s="104">
        <v>1</v>
      </c>
      <c r="C44" s="101" t="str">
        <f>VLOOKUP($A44,PERTANYAAN!$A$18:$E$71,3,0)</f>
        <v>Staff</v>
      </c>
      <c r="D44" s="46">
        <f>VLOOKUP($A44,PERTANYAAN!$A$18:$E$71,5,0)</f>
        <v>0.25</v>
      </c>
      <c r="E44" s="17"/>
      <c r="F44" s="16"/>
      <c r="G44" s="16"/>
      <c r="H44" s="102"/>
      <c r="I44" s="102"/>
      <c r="J44" s="102"/>
      <c r="K44" s="102"/>
      <c r="L44" s="102"/>
      <c r="M44" s="16">
        <f>SUM(M45:M48)</f>
        <v>25</v>
      </c>
      <c r="N44" s="103"/>
    </row>
    <row r="45" spans="1:14" x14ac:dyDescent="0.4">
      <c r="A45" s="99" t="s">
        <v>114</v>
      </c>
      <c r="B45" s="100" t="s">
        <v>6</v>
      </c>
      <c r="C45" s="101" t="str">
        <f>VLOOKUP($A45,PERTANYAAN!$A$18:$E$71,3,0)</f>
        <v>Kepemimpinan</v>
      </c>
      <c r="D45" s="46">
        <f>VLOOKUP($A45,PERTANYAAN!$A$18:$E$71,5,0)</f>
        <v>2.5000000000000001E-2</v>
      </c>
      <c r="E45" s="17"/>
      <c r="F45" s="16"/>
      <c r="G45" s="16"/>
      <c r="H45" s="102"/>
      <c r="I45" s="102"/>
      <c r="J45" s="102"/>
      <c r="K45" s="102"/>
      <c r="L45" s="102" t="s">
        <v>16</v>
      </c>
      <c r="M45" s="16">
        <f>IF(H45="V",$D45*H$15,IF(I45="V",$D45*I$15,IF(J45="V",$D45*J$15,IF(K45="V",$D45*K$15,IF(L45="V",$D45*L$15,0)))))*100</f>
        <v>2.5</v>
      </c>
      <c r="N45" s="103"/>
    </row>
    <row r="46" spans="1:14" x14ac:dyDescent="0.4">
      <c r="A46" s="99" t="s">
        <v>115</v>
      </c>
      <c r="B46" s="100" t="s">
        <v>6</v>
      </c>
      <c r="C46" s="101" t="str">
        <f>VLOOKUP($A46,PERTANYAAN!$A$18:$E$71,3,0)</f>
        <v>Komunikasi</v>
      </c>
      <c r="D46" s="46">
        <f>VLOOKUP($A46,PERTANYAAN!$A$18:$E$71,5,0)</f>
        <v>0.1</v>
      </c>
      <c r="E46" s="17"/>
      <c r="F46" s="16"/>
      <c r="G46" s="16"/>
      <c r="H46" s="102"/>
      <c r="I46" s="102"/>
      <c r="J46" s="102"/>
      <c r="K46" s="102"/>
      <c r="L46" s="102" t="s">
        <v>16</v>
      </c>
      <c r="M46" s="16">
        <f>IF(H46="V",$D46*H$15,IF(I46="V",$D46*I$15,IF(J46="V",$D46*J$15,IF(K46="V",$D46*K$15,IF(L46="V",$D46*L$15,0)))))*100</f>
        <v>10</v>
      </c>
      <c r="N46" s="103"/>
    </row>
    <row r="47" spans="1:14" x14ac:dyDescent="0.4">
      <c r="A47" s="99" t="s">
        <v>116</v>
      </c>
      <c r="B47" s="100" t="s">
        <v>6</v>
      </c>
      <c r="C47" s="101" t="str">
        <f>VLOOKUP($A47,PERTANYAAN!$A$18:$E$71,3,0)</f>
        <v>Patuh pada Peraturan / Commitment</v>
      </c>
      <c r="D47" s="46">
        <f>VLOOKUP($A47,PERTANYAAN!$A$18:$E$71,5,0)</f>
        <v>0.05</v>
      </c>
      <c r="E47" s="17"/>
      <c r="F47" s="16"/>
      <c r="G47" s="16"/>
      <c r="H47" s="102"/>
      <c r="I47" s="102"/>
      <c r="J47" s="102"/>
      <c r="K47" s="102"/>
      <c r="L47" s="102" t="s">
        <v>16</v>
      </c>
      <c r="M47" s="16">
        <f>IF(H47="V",$D47*H$15,IF(I47="V",$D47*I$15,IF(J47="V",$D47*J$15,IF(K47="V",$D47*K$15,IF(L47="V",$D47*L$15,0)))))*100</f>
        <v>5</v>
      </c>
      <c r="N47" s="103"/>
    </row>
    <row r="48" spans="1:14" x14ac:dyDescent="0.4">
      <c r="A48" s="99" t="s">
        <v>117</v>
      </c>
      <c r="B48" s="100" t="s">
        <v>6</v>
      </c>
      <c r="C48" s="101" t="str">
        <f>VLOOKUP($A48,PERTANYAAN!$A$18:$E$71,3,0)</f>
        <v>Determinasi thd tekanan</v>
      </c>
      <c r="D48" s="46">
        <f>VLOOKUP($A48,PERTANYAAN!$A$18:$E$71,5,0)</f>
        <v>7.4999999999999997E-2</v>
      </c>
      <c r="E48" s="17"/>
      <c r="F48" s="16"/>
      <c r="G48" s="16"/>
      <c r="H48" s="102"/>
      <c r="I48" s="102"/>
      <c r="J48" s="102"/>
      <c r="K48" s="102"/>
      <c r="L48" s="102" t="s">
        <v>16</v>
      </c>
      <c r="M48" s="16">
        <f>IF(H48="V",$D48*H$15,IF(I48="V",$D48*I$15,IF(J48="V",$D48*J$15,IF(K48="V",$D48*K$15,IF(L48="V",$D48*L$15,0)))))*100</f>
        <v>7.5</v>
      </c>
      <c r="N48" s="103"/>
    </row>
    <row r="49" spans="1:14" x14ac:dyDescent="0.4">
      <c r="A49" s="92"/>
      <c r="B49" s="100"/>
      <c r="C49" s="103"/>
      <c r="D49" s="17"/>
      <c r="E49" s="17"/>
      <c r="F49" s="16"/>
      <c r="G49" s="16"/>
      <c r="H49" s="102"/>
      <c r="I49" s="102"/>
      <c r="J49" s="102"/>
      <c r="K49" s="102"/>
      <c r="L49" s="102"/>
      <c r="M49" s="16"/>
      <c r="N49" s="103"/>
    </row>
    <row r="50" spans="1:14" hidden="1" outlineLevel="1" x14ac:dyDescent="0.4">
      <c r="A50" s="92"/>
      <c r="B50" s="104">
        <v>2</v>
      </c>
      <c r="C50" s="103" t="s">
        <v>26</v>
      </c>
      <c r="D50" s="17"/>
      <c r="E50" s="17"/>
      <c r="F50" s="16"/>
      <c r="G50" s="16"/>
      <c r="H50" s="102"/>
      <c r="I50" s="102"/>
      <c r="J50" s="102"/>
      <c r="K50" s="102"/>
      <c r="L50" s="102"/>
      <c r="M50" s="16"/>
      <c r="N50" s="103"/>
    </row>
    <row r="51" spans="1:14" hidden="1" outlineLevel="1" x14ac:dyDescent="0.4">
      <c r="A51" s="92"/>
      <c r="B51" s="100" t="s">
        <v>6</v>
      </c>
      <c r="C51" s="103" t="s">
        <v>54</v>
      </c>
      <c r="D51" s="17"/>
      <c r="E51" s="17"/>
      <c r="F51" s="16"/>
      <c r="G51" s="16"/>
      <c r="H51" s="102"/>
      <c r="I51" s="102"/>
      <c r="J51" s="102"/>
      <c r="K51" s="102"/>
      <c r="L51" s="102"/>
      <c r="M51" s="16"/>
      <c r="N51" s="103"/>
    </row>
    <row r="52" spans="1:14" hidden="1" outlineLevel="1" x14ac:dyDescent="0.4">
      <c r="A52" s="92"/>
      <c r="B52" s="100" t="s">
        <v>6</v>
      </c>
      <c r="C52" s="103" t="s">
        <v>55</v>
      </c>
      <c r="D52" s="17"/>
      <c r="E52" s="17"/>
      <c r="F52" s="16"/>
      <c r="G52" s="16"/>
      <c r="H52" s="102"/>
      <c r="I52" s="102"/>
      <c r="J52" s="102"/>
      <c r="K52" s="102"/>
      <c r="L52" s="102"/>
      <c r="M52" s="16"/>
      <c r="N52" s="103"/>
    </row>
    <row r="53" spans="1:14" hidden="1" outlineLevel="1" x14ac:dyDescent="0.4">
      <c r="A53" s="92"/>
      <c r="B53" s="100" t="s">
        <v>6</v>
      </c>
      <c r="C53" s="103" t="s">
        <v>56</v>
      </c>
      <c r="D53" s="17"/>
      <c r="E53" s="17"/>
      <c r="F53" s="16"/>
      <c r="G53" s="16"/>
      <c r="H53" s="102"/>
      <c r="I53" s="102"/>
      <c r="J53" s="102"/>
      <c r="K53" s="102"/>
      <c r="L53" s="102"/>
      <c r="M53" s="16"/>
      <c r="N53" s="103"/>
    </row>
    <row r="54" spans="1:14" hidden="1" outlineLevel="1" x14ac:dyDescent="0.4">
      <c r="A54" s="92"/>
      <c r="B54" s="100"/>
      <c r="C54" s="103"/>
      <c r="D54" s="17"/>
      <c r="E54" s="17"/>
      <c r="F54" s="16"/>
      <c r="G54" s="16"/>
      <c r="H54" s="102"/>
      <c r="I54" s="102"/>
      <c r="J54" s="102"/>
      <c r="K54" s="102"/>
      <c r="L54" s="102"/>
      <c r="M54" s="16"/>
      <c r="N54" s="103"/>
    </row>
    <row r="55" spans="1:14" hidden="1" outlineLevel="1" x14ac:dyDescent="0.4">
      <c r="A55" s="92"/>
      <c r="B55" s="104">
        <v>3</v>
      </c>
      <c r="C55" s="103" t="s">
        <v>27</v>
      </c>
      <c r="D55" s="17"/>
      <c r="E55" s="17"/>
      <c r="F55" s="16"/>
      <c r="G55" s="16"/>
      <c r="H55" s="102"/>
      <c r="I55" s="102"/>
      <c r="J55" s="102"/>
      <c r="K55" s="102"/>
      <c r="L55" s="102"/>
      <c r="M55" s="16"/>
      <c r="N55" s="103"/>
    </row>
    <row r="56" spans="1:14" hidden="1" outlineLevel="1" x14ac:dyDescent="0.4">
      <c r="A56" s="92"/>
      <c r="B56" s="100" t="s">
        <v>6</v>
      </c>
      <c r="C56" s="103" t="s">
        <v>54</v>
      </c>
      <c r="D56" s="17"/>
      <c r="E56" s="17"/>
      <c r="F56" s="16"/>
      <c r="G56" s="16"/>
      <c r="H56" s="102"/>
      <c r="I56" s="102"/>
      <c r="J56" s="102"/>
      <c r="K56" s="102"/>
      <c r="L56" s="102"/>
      <c r="M56" s="16"/>
      <c r="N56" s="103"/>
    </row>
    <row r="57" spans="1:14" hidden="1" outlineLevel="1" x14ac:dyDescent="0.4">
      <c r="A57" s="92"/>
      <c r="B57" s="100" t="s">
        <v>6</v>
      </c>
      <c r="C57" s="103" t="s">
        <v>56</v>
      </c>
      <c r="D57" s="17"/>
      <c r="E57" s="17"/>
      <c r="F57" s="16"/>
      <c r="G57" s="16"/>
      <c r="H57" s="102"/>
      <c r="I57" s="102"/>
      <c r="J57" s="102"/>
      <c r="K57" s="102"/>
      <c r="L57" s="102"/>
      <c r="M57" s="16"/>
      <c r="N57" s="103"/>
    </row>
    <row r="58" spans="1:14" hidden="1" outlineLevel="1" x14ac:dyDescent="0.4">
      <c r="A58" s="92"/>
      <c r="B58" s="100" t="s">
        <v>6</v>
      </c>
      <c r="C58" s="103" t="s">
        <v>57</v>
      </c>
      <c r="D58" s="17"/>
      <c r="E58" s="17"/>
      <c r="F58" s="16"/>
      <c r="G58" s="16"/>
      <c r="H58" s="102"/>
      <c r="I58" s="102"/>
      <c r="J58" s="102"/>
      <c r="K58" s="102"/>
      <c r="L58" s="102"/>
      <c r="M58" s="16"/>
      <c r="N58" s="103"/>
    </row>
    <row r="59" spans="1:14" hidden="1" outlineLevel="1" x14ac:dyDescent="0.4">
      <c r="A59" s="92"/>
      <c r="B59" s="104"/>
      <c r="C59" s="103"/>
      <c r="D59" s="17"/>
      <c r="E59" s="17"/>
      <c r="F59" s="16"/>
      <c r="G59" s="16"/>
      <c r="H59" s="102"/>
      <c r="I59" s="102"/>
      <c r="J59" s="102"/>
      <c r="K59" s="102"/>
      <c r="L59" s="102"/>
      <c r="M59" s="16"/>
      <c r="N59" s="103"/>
    </row>
    <row r="60" spans="1:14" s="2" customFormat="1" collapsed="1" x14ac:dyDescent="0.4">
      <c r="A60" s="3"/>
      <c r="B60" s="48" t="s">
        <v>99</v>
      </c>
      <c r="C60" s="49" t="s">
        <v>46</v>
      </c>
      <c r="D60" s="51">
        <f>SUM(D61:D64)</f>
        <v>0.15</v>
      </c>
      <c r="E60" s="51"/>
      <c r="F60" s="54"/>
      <c r="G60" s="54"/>
      <c r="H60" s="59"/>
      <c r="I60" s="59"/>
      <c r="J60" s="59"/>
      <c r="K60" s="59"/>
      <c r="L60" s="59"/>
      <c r="M60" s="54">
        <f>SUM(M61:M64)</f>
        <v>15</v>
      </c>
      <c r="N60" s="49"/>
    </row>
    <row r="61" spans="1:14" x14ac:dyDescent="0.4">
      <c r="A61" s="99" t="s">
        <v>118</v>
      </c>
      <c r="B61" s="100" t="s">
        <v>6</v>
      </c>
      <c r="C61" s="101" t="str">
        <f>VLOOKUP($A61,PERTANYAAN!$A$18:$E$71,3,0)</f>
        <v>Antusiasme / Keinginan bergabung</v>
      </c>
      <c r="D61" s="46">
        <f>VLOOKUP($A61,PERTANYAAN!$A$18:$E$71,5,0)</f>
        <v>7.4999999999999997E-2</v>
      </c>
      <c r="E61" s="17"/>
      <c r="F61" s="16"/>
      <c r="G61" s="16"/>
      <c r="H61" s="102"/>
      <c r="I61" s="102"/>
      <c r="J61" s="102"/>
      <c r="K61" s="102"/>
      <c r="L61" s="102" t="s">
        <v>16</v>
      </c>
      <c r="M61" s="16">
        <f t="shared" ref="M61:M63" si="2">IF(H61="V",$D61*H$15,IF(I61="V",$D61*I$15,IF(J61="V",$D61*J$15,IF(K61="V",$D61*K$15,IF(L61="V",$D61*L$15,0)))))*100</f>
        <v>7.5</v>
      </c>
      <c r="N61" s="103"/>
    </row>
    <row r="62" spans="1:14" x14ac:dyDescent="0.4">
      <c r="A62" s="99" t="s">
        <v>119</v>
      </c>
      <c r="B62" s="100" t="s">
        <v>6</v>
      </c>
      <c r="C62" s="101" t="str">
        <f>VLOOKUP($A62,PERTANYAAN!$A$18:$E$71,3,0)</f>
        <v>Inisiatif</v>
      </c>
      <c r="D62" s="46">
        <f>VLOOKUP($A62,PERTANYAAN!$A$18:$E$71,5,0)</f>
        <v>0.05</v>
      </c>
      <c r="E62" s="17"/>
      <c r="F62" s="16"/>
      <c r="G62" s="16"/>
      <c r="H62" s="102"/>
      <c r="I62" s="102"/>
      <c r="J62" s="102"/>
      <c r="K62" s="102"/>
      <c r="L62" s="102" t="s">
        <v>16</v>
      </c>
      <c r="M62" s="16">
        <f t="shared" si="2"/>
        <v>5</v>
      </c>
      <c r="N62" s="103"/>
    </row>
    <row r="63" spans="1:14" x14ac:dyDescent="0.4">
      <c r="A63" s="99" t="s">
        <v>120</v>
      </c>
      <c r="B63" s="100" t="s">
        <v>6</v>
      </c>
      <c r="C63" s="101" t="str">
        <f>VLOOKUP($A63,PERTANYAAN!$A$18:$E$71,3,0)</f>
        <v>Adaptif</v>
      </c>
      <c r="D63" s="46">
        <f>VLOOKUP($A63,PERTANYAAN!$A$18:$E$71,5,0)</f>
        <v>2.5000000000000001E-2</v>
      </c>
      <c r="E63" s="17"/>
      <c r="F63" s="16"/>
      <c r="G63" s="16"/>
      <c r="H63" s="102"/>
      <c r="I63" s="102"/>
      <c r="J63" s="102"/>
      <c r="K63" s="102"/>
      <c r="L63" s="102" t="s">
        <v>16</v>
      </c>
      <c r="M63" s="16">
        <f t="shared" si="2"/>
        <v>2.5</v>
      </c>
      <c r="N63" s="103"/>
    </row>
    <row r="64" spans="1:14" x14ac:dyDescent="0.4">
      <c r="A64" s="92"/>
      <c r="B64" s="104"/>
      <c r="C64" s="103"/>
      <c r="D64" s="17"/>
      <c r="E64" s="17"/>
      <c r="F64" s="16"/>
      <c r="G64" s="16"/>
      <c r="H64" s="102"/>
      <c r="I64" s="102"/>
      <c r="J64" s="102"/>
      <c r="K64" s="102"/>
      <c r="L64" s="102"/>
      <c r="M64" s="16"/>
      <c r="N64" s="103"/>
    </row>
    <row r="65" spans="1:14" s="2" customFormat="1" x14ac:dyDescent="0.4">
      <c r="A65" s="3"/>
      <c r="B65" s="48" t="s">
        <v>100</v>
      </c>
      <c r="C65" s="49" t="s">
        <v>48</v>
      </c>
      <c r="D65" s="51">
        <f>SUM(D66:D68)</f>
        <v>0.05</v>
      </c>
      <c r="E65" s="51"/>
      <c r="F65" s="54"/>
      <c r="G65" s="54"/>
      <c r="H65" s="59"/>
      <c r="I65" s="59"/>
      <c r="J65" s="59"/>
      <c r="K65" s="59"/>
      <c r="L65" s="59"/>
      <c r="M65" s="54">
        <f>SUM(M66:M68)</f>
        <v>5</v>
      </c>
      <c r="N65" s="49"/>
    </row>
    <row r="66" spans="1:14" x14ac:dyDescent="0.4">
      <c r="A66" s="99" t="s">
        <v>121</v>
      </c>
      <c r="B66" s="100" t="s">
        <v>6</v>
      </c>
      <c r="C66" s="101" t="str">
        <f>VLOOKUP($A66,PERTANYAAN!$A$18:$E$71,3,0)</f>
        <v>Ekspektasi Salary (Mengukur Budget &amp; Skill)</v>
      </c>
      <c r="D66" s="46">
        <f>VLOOKUP($A66,PERTANYAAN!$A$18:$E$71,5,0)</f>
        <v>0.04</v>
      </c>
      <c r="E66" s="17"/>
      <c r="F66" s="16"/>
      <c r="G66" s="16"/>
      <c r="H66" s="102"/>
      <c r="I66" s="102"/>
      <c r="J66" s="102"/>
      <c r="K66" s="102"/>
      <c r="L66" s="102" t="s">
        <v>16</v>
      </c>
      <c r="M66" s="16">
        <f t="shared" ref="M66:M67" si="3">IF(H66="V",$D66*H$15,IF(I66="V",$D66*I$15,IF(J66="V",$D66*J$15,IF(K66="V",$D66*K$15,IF(L66="V",$D66*L$15,0)))))*100</f>
        <v>4</v>
      </c>
      <c r="N66" s="103"/>
    </row>
    <row r="67" spans="1:14" x14ac:dyDescent="0.4">
      <c r="A67" s="99" t="s">
        <v>122</v>
      </c>
      <c r="B67" s="100" t="s">
        <v>6</v>
      </c>
      <c r="C67" s="101" t="str">
        <f>VLOOKUP($A67,PERTANYAAN!$A$18:$E$71,3,0)</f>
        <v>Tujuan Karir</v>
      </c>
      <c r="D67" s="46">
        <f>VLOOKUP($A67,PERTANYAAN!$A$18:$E$71,5,0)</f>
        <v>0.01</v>
      </c>
      <c r="E67" s="17"/>
      <c r="F67" s="16"/>
      <c r="G67" s="16"/>
      <c r="H67" s="102"/>
      <c r="I67" s="102"/>
      <c r="J67" s="102"/>
      <c r="K67" s="102"/>
      <c r="L67" s="102" t="s">
        <v>16</v>
      </c>
      <c r="M67" s="16">
        <f t="shared" si="3"/>
        <v>1</v>
      </c>
      <c r="N67" s="103"/>
    </row>
    <row r="68" spans="1:14" x14ac:dyDescent="0.4">
      <c r="A68" s="99"/>
      <c r="B68" s="104"/>
      <c r="C68" s="103"/>
      <c r="D68" s="17"/>
      <c r="E68" s="17"/>
      <c r="F68" s="16"/>
      <c r="G68" s="16"/>
      <c r="H68" s="102"/>
      <c r="I68" s="102"/>
      <c r="J68" s="102"/>
      <c r="K68" s="102"/>
      <c r="L68" s="102"/>
      <c r="M68" s="16"/>
      <c r="N68" s="103"/>
    </row>
    <row r="69" spans="1:14" s="2" customFormat="1" x14ac:dyDescent="0.4">
      <c r="A69" s="3"/>
      <c r="B69" s="48" t="s">
        <v>101</v>
      </c>
      <c r="C69" s="49" t="s">
        <v>134</v>
      </c>
      <c r="D69" s="51">
        <f>SUM(D70:D70)</f>
        <v>0.05</v>
      </c>
      <c r="E69" s="51"/>
      <c r="F69" s="54"/>
      <c r="G69" s="54"/>
      <c r="H69" s="59"/>
      <c r="I69" s="59"/>
      <c r="J69" s="59"/>
      <c r="K69" s="59"/>
      <c r="L69" s="59"/>
      <c r="M69" s="54">
        <f>SUM(M70)</f>
        <v>5</v>
      </c>
      <c r="N69" s="49"/>
    </row>
    <row r="70" spans="1:14" x14ac:dyDescent="0.4">
      <c r="A70" s="99" t="s">
        <v>123</v>
      </c>
      <c r="B70" s="100" t="s">
        <v>6</v>
      </c>
      <c r="C70" s="101" t="str">
        <f>VLOOKUP($A70,PERTANYAAN!$A$18:$E$71,3,0)</f>
        <v>Pertanyaan Spesifik User</v>
      </c>
      <c r="D70" s="46">
        <f>VLOOKUP($A70,PERTANYAAN!$A$18:$E$71,5,0)</f>
        <v>0.05</v>
      </c>
      <c r="E70" s="17"/>
      <c r="F70" s="16"/>
      <c r="G70" s="16"/>
      <c r="H70" s="102"/>
      <c r="I70" s="102"/>
      <c r="J70" s="102"/>
      <c r="K70" s="102"/>
      <c r="L70" s="102" t="s">
        <v>16</v>
      </c>
      <c r="M70" s="16">
        <f t="shared" ref="M70" si="4">IF(H70="V",$D70*H$15,IF(I70="V",$D70*I$15,IF(J70="V",$D70*J$15,IF(K70="V",$D70*K$15,IF(L70="V",$D70*L$15,0)))))*100</f>
        <v>5</v>
      </c>
      <c r="N70" s="103"/>
    </row>
    <row r="71" spans="1:14" x14ac:dyDescent="0.4">
      <c r="B71" s="105"/>
      <c r="C71" s="106"/>
      <c r="D71" s="22"/>
      <c r="E71" s="22"/>
      <c r="F71" s="21"/>
      <c r="G71" s="21"/>
      <c r="H71" s="107"/>
      <c r="I71" s="107"/>
      <c r="J71" s="107"/>
      <c r="K71" s="107"/>
      <c r="L71" s="107"/>
      <c r="M71" s="21"/>
      <c r="N71" s="106"/>
    </row>
    <row r="73" spans="1:14" x14ac:dyDescent="0.4">
      <c r="H73" s="26" t="s">
        <v>61</v>
      </c>
    </row>
    <row r="74" spans="1:14" x14ac:dyDescent="0.4">
      <c r="H74" s="94" t="s">
        <v>39</v>
      </c>
      <c r="I74" s="94" t="s">
        <v>29</v>
      </c>
      <c r="J74" s="95" t="s">
        <v>69</v>
      </c>
    </row>
    <row r="75" spans="1:14" x14ac:dyDescent="0.4">
      <c r="H75" s="94" t="s">
        <v>40</v>
      </c>
      <c r="I75" s="94" t="s">
        <v>29</v>
      </c>
      <c r="J75" s="95" t="s">
        <v>70</v>
      </c>
    </row>
    <row r="76" spans="1:14" x14ac:dyDescent="0.4">
      <c r="H76" s="94" t="s">
        <v>41</v>
      </c>
      <c r="I76" s="94" t="s">
        <v>29</v>
      </c>
      <c r="J76" s="95" t="s">
        <v>71</v>
      </c>
    </row>
    <row r="77" spans="1:14" x14ac:dyDescent="0.4">
      <c r="H77" s="94" t="s">
        <v>42</v>
      </c>
      <c r="I77" s="94" t="s">
        <v>29</v>
      </c>
      <c r="J77" s="95" t="s">
        <v>72</v>
      </c>
    </row>
    <row r="78" spans="1:14" x14ac:dyDescent="0.4">
      <c r="H78" s="94" t="s">
        <v>43</v>
      </c>
      <c r="I78" s="94" t="s">
        <v>29</v>
      </c>
      <c r="J78" s="95" t="s">
        <v>73</v>
      </c>
    </row>
  </sheetData>
  <mergeCells count="8">
    <mergeCell ref="H13:L13"/>
    <mergeCell ref="M13:M14"/>
    <mergeCell ref="N13:N14"/>
    <mergeCell ref="A13:A14"/>
    <mergeCell ref="F13:G13"/>
    <mergeCell ref="B13:B14"/>
    <mergeCell ref="C13:C14"/>
    <mergeCell ref="D13:D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0B0C-1E50-492A-88BA-409E0A258ACC}">
  <sheetPr>
    <tabColor rgb="FF00B0F0"/>
  </sheetPr>
  <dimension ref="A1:N78"/>
  <sheetViews>
    <sheetView zoomScaleNormal="100" workbookViewId="0">
      <pane xSplit="1" ySplit="14" topLeftCell="B15" activePane="bottomRight" state="frozen"/>
      <selection activeCell="N23" sqref="N23"/>
      <selection pane="topRight" activeCell="N23" sqref="N23"/>
      <selection pane="bottomLeft" activeCell="N23" sqref="N23"/>
      <selection pane="bottomRight" activeCell="N23" sqref="N23"/>
    </sheetView>
  </sheetViews>
  <sheetFormatPr defaultRowHeight="14.6" outlineLevelRow="1" x14ac:dyDescent="0.4"/>
  <cols>
    <col min="1" max="1" width="17.69140625" style="93" customWidth="1"/>
    <col min="2" max="2" width="4.3828125" style="92" bestFit="1" customWidth="1"/>
    <col min="3" max="3" width="40.15234375" style="93" bestFit="1" customWidth="1"/>
    <col min="4" max="4" width="9.23046875" style="5"/>
    <col min="5" max="5" width="1.69140625" style="5" customWidth="1"/>
    <col min="6" max="7" width="9.23046875" style="4"/>
    <col min="8" max="12" width="9.23046875" style="94"/>
    <col min="13" max="13" width="9.23046875" style="4"/>
    <col min="14" max="14" width="16.84375" style="93" customWidth="1"/>
    <col min="15" max="16384" width="9.23046875" style="93"/>
  </cols>
  <sheetData>
    <row r="1" spans="1:14" x14ac:dyDescent="0.4">
      <c r="A1" s="2" t="s">
        <v>125</v>
      </c>
    </row>
    <row r="2" spans="1:14" x14ac:dyDescent="0.4">
      <c r="A2" s="2" t="s">
        <v>0</v>
      </c>
    </row>
    <row r="5" spans="1:14" x14ac:dyDescent="0.4">
      <c r="A5" s="2" t="s">
        <v>1</v>
      </c>
      <c r="B5" s="92" t="s">
        <v>29</v>
      </c>
      <c r="C5" s="2" t="s">
        <v>152</v>
      </c>
      <c r="L5" s="26" t="s">
        <v>61</v>
      </c>
      <c r="M5" s="94"/>
      <c r="N5" s="94"/>
    </row>
    <row r="6" spans="1:14" x14ac:dyDescent="0.4">
      <c r="A6" s="2" t="s">
        <v>20</v>
      </c>
      <c r="B6" s="92" t="s">
        <v>29</v>
      </c>
      <c r="C6" s="93" t="s">
        <v>31</v>
      </c>
      <c r="L6" s="94" t="s">
        <v>39</v>
      </c>
      <c r="M6" s="94" t="s">
        <v>29</v>
      </c>
      <c r="N6" s="95" t="s">
        <v>69</v>
      </c>
    </row>
    <row r="7" spans="1:14" x14ac:dyDescent="0.4">
      <c r="A7" s="2" t="s">
        <v>32</v>
      </c>
      <c r="B7" s="92" t="s">
        <v>29</v>
      </c>
      <c r="C7" s="93" t="s">
        <v>33</v>
      </c>
      <c r="L7" s="94" t="s">
        <v>40</v>
      </c>
      <c r="M7" s="94" t="s">
        <v>29</v>
      </c>
      <c r="N7" s="95" t="s">
        <v>70</v>
      </c>
    </row>
    <row r="8" spans="1:14" x14ac:dyDescent="0.4">
      <c r="A8" s="2" t="s">
        <v>34</v>
      </c>
      <c r="B8" s="92" t="s">
        <v>29</v>
      </c>
      <c r="C8" s="93" t="s">
        <v>35</v>
      </c>
      <c r="L8" s="94" t="s">
        <v>41</v>
      </c>
      <c r="M8" s="94" t="s">
        <v>29</v>
      </c>
      <c r="N8" s="95" t="s">
        <v>71</v>
      </c>
    </row>
    <row r="9" spans="1:14" x14ac:dyDescent="0.4">
      <c r="A9" s="2" t="s">
        <v>28</v>
      </c>
      <c r="B9" s="92" t="s">
        <v>29</v>
      </c>
      <c r="C9" s="93" t="s">
        <v>83</v>
      </c>
      <c r="L9" s="94" t="s">
        <v>42</v>
      </c>
      <c r="M9" s="94" t="s">
        <v>29</v>
      </c>
      <c r="N9" s="95" t="s">
        <v>72</v>
      </c>
    </row>
    <row r="10" spans="1:14" x14ac:dyDescent="0.4">
      <c r="A10" s="2" t="s">
        <v>38</v>
      </c>
      <c r="B10" s="92" t="s">
        <v>29</v>
      </c>
      <c r="C10" s="2" t="s">
        <v>62</v>
      </c>
      <c r="D10" s="6" t="s">
        <v>91</v>
      </c>
      <c r="L10" s="94" t="s">
        <v>43</v>
      </c>
      <c r="M10" s="94" t="s">
        <v>29</v>
      </c>
      <c r="N10" s="95" t="s">
        <v>73</v>
      </c>
    </row>
    <row r="11" spans="1:14" x14ac:dyDescent="0.4">
      <c r="A11" s="2" t="s">
        <v>67</v>
      </c>
      <c r="B11" s="92" t="s">
        <v>29</v>
      </c>
      <c r="C11" s="24">
        <f>M16</f>
        <v>91</v>
      </c>
    </row>
    <row r="13" spans="1:14" s="2" customFormat="1" x14ac:dyDescent="0.4">
      <c r="A13" s="67" t="s">
        <v>124</v>
      </c>
      <c r="B13" s="68" t="s">
        <v>2</v>
      </c>
      <c r="C13" s="68" t="s">
        <v>3</v>
      </c>
      <c r="D13" s="70" t="s">
        <v>19</v>
      </c>
      <c r="E13" s="42"/>
      <c r="F13" s="65" t="s">
        <v>18</v>
      </c>
      <c r="G13" s="65"/>
      <c r="H13" s="68" t="s">
        <v>37</v>
      </c>
      <c r="I13" s="68"/>
      <c r="J13" s="68"/>
      <c r="K13" s="68"/>
      <c r="L13" s="68"/>
      <c r="M13" s="65" t="s">
        <v>17</v>
      </c>
      <c r="N13" s="66" t="s">
        <v>61</v>
      </c>
    </row>
    <row r="14" spans="1:14" s="2" customFormat="1" x14ac:dyDescent="0.4">
      <c r="A14" s="67"/>
      <c r="B14" s="68"/>
      <c r="C14" s="96"/>
      <c r="D14" s="71"/>
      <c r="E14" s="44"/>
      <c r="F14" s="43" t="s">
        <v>14</v>
      </c>
      <c r="G14" s="43" t="s">
        <v>15</v>
      </c>
      <c r="H14" s="41" t="s">
        <v>39</v>
      </c>
      <c r="I14" s="41" t="s">
        <v>40</v>
      </c>
      <c r="J14" s="41" t="s">
        <v>41</v>
      </c>
      <c r="K14" s="41" t="s">
        <v>42</v>
      </c>
      <c r="L14" s="41" t="s">
        <v>43</v>
      </c>
      <c r="M14" s="65"/>
      <c r="N14" s="66"/>
    </row>
    <row r="15" spans="1:14" s="2" customFormat="1" x14ac:dyDescent="0.4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4">
      <c r="A16" s="3"/>
      <c r="B16" s="39"/>
      <c r="C16" s="63" t="s">
        <v>65</v>
      </c>
      <c r="D16" s="39"/>
      <c r="E16" s="39"/>
      <c r="F16" s="61"/>
      <c r="G16" s="61"/>
      <c r="H16" s="39"/>
      <c r="I16" s="39"/>
      <c r="J16" s="39"/>
      <c r="K16" s="39"/>
      <c r="L16" s="39"/>
      <c r="M16" s="40">
        <f>M17+M21+M27+M43+M60+M65+M69</f>
        <v>91</v>
      </c>
      <c r="N16" s="35"/>
    </row>
    <row r="17" spans="1:14" x14ac:dyDescent="0.4">
      <c r="B17" s="48" t="s">
        <v>66</v>
      </c>
      <c r="C17" s="49" t="s">
        <v>8</v>
      </c>
      <c r="D17" s="51">
        <f>SUM(D18:D19)</f>
        <v>0.1</v>
      </c>
      <c r="E17" s="51"/>
      <c r="F17" s="54"/>
      <c r="G17" s="54"/>
      <c r="H17" s="97"/>
      <c r="I17" s="97"/>
      <c r="J17" s="97"/>
      <c r="K17" s="97"/>
      <c r="L17" s="97"/>
      <c r="M17" s="54">
        <f>SUM(M18:M20)</f>
        <v>6</v>
      </c>
      <c r="N17" s="98"/>
    </row>
    <row r="18" spans="1:14" x14ac:dyDescent="0.4">
      <c r="A18" s="99" t="s">
        <v>102</v>
      </c>
      <c r="B18" s="100">
        <v>1</v>
      </c>
      <c r="C18" s="101" t="str">
        <f>VLOOKUP($A18,PERTANYAAN!$A$18:$E$71,3,0)</f>
        <v>Pengalaman di dalam Daniswara Group</v>
      </c>
      <c r="D18" s="46">
        <f>VLOOKUP($A18,PERTANYAAN!$A$18:$E$71,5,0)</f>
        <v>0.06</v>
      </c>
      <c r="E18" s="17"/>
      <c r="F18" s="16" t="s">
        <v>16</v>
      </c>
      <c r="G18" s="16"/>
      <c r="H18" s="102"/>
      <c r="I18" s="102"/>
      <c r="J18" s="102"/>
      <c r="K18" s="102"/>
      <c r="L18" s="102"/>
      <c r="M18" s="16">
        <f>IF(F18="V",D18*100,0)</f>
        <v>6</v>
      </c>
      <c r="N18" s="103"/>
    </row>
    <row r="19" spans="1:14" x14ac:dyDescent="0.4">
      <c r="A19" s="99" t="s">
        <v>103</v>
      </c>
      <c r="B19" s="100">
        <f>B18+1</f>
        <v>2</v>
      </c>
      <c r="C19" s="101" t="str">
        <f>VLOOKUP($A19,PERTANYAAN!$A$18:$E$71,3,0)</f>
        <v>Pengalaman di luar Daniswara Group</v>
      </c>
      <c r="D19" s="46">
        <f>VLOOKUP($A19,PERTANYAAN!$A$18:$E$71,5,0)</f>
        <v>0.04</v>
      </c>
      <c r="E19" s="17"/>
      <c r="F19" s="16"/>
      <c r="G19" s="16"/>
      <c r="H19" s="102"/>
      <c r="I19" s="102"/>
      <c r="J19" s="102"/>
      <c r="K19" s="102"/>
      <c r="L19" s="102"/>
      <c r="M19" s="16">
        <f>IF(F19="V",D19*100,0)</f>
        <v>0</v>
      </c>
      <c r="N19" s="103"/>
    </row>
    <row r="20" spans="1:14" x14ac:dyDescent="0.4">
      <c r="A20" s="92"/>
      <c r="B20" s="104"/>
      <c r="C20" s="103"/>
      <c r="D20" s="17"/>
      <c r="E20" s="17"/>
      <c r="F20" s="16"/>
      <c r="G20" s="16"/>
      <c r="H20" s="102"/>
      <c r="I20" s="102"/>
      <c r="J20" s="102"/>
      <c r="K20" s="102"/>
      <c r="L20" s="102"/>
      <c r="M20" s="16"/>
      <c r="N20" s="103"/>
    </row>
    <row r="21" spans="1:14" x14ac:dyDescent="0.4">
      <c r="A21" s="92"/>
      <c r="B21" s="48" t="s">
        <v>42</v>
      </c>
      <c r="C21" s="49" t="s">
        <v>9</v>
      </c>
      <c r="D21" s="51">
        <f>SUM(D22:D25)</f>
        <v>0.05</v>
      </c>
      <c r="E21" s="51"/>
      <c r="F21" s="54"/>
      <c r="G21" s="54"/>
      <c r="H21" s="97"/>
      <c r="I21" s="97"/>
      <c r="J21" s="97"/>
      <c r="K21" s="97"/>
      <c r="L21" s="97"/>
      <c r="M21" s="54">
        <f>SUM(M22:M25)</f>
        <v>5</v>
      </c>
      <c r="N21" s="98"/>
    </row>
    <row r="22" spans="1:14" x14ac:dyDescent="0.4">
      <c r="A22" s="99" t="s">
        <v>104</v>
      </c>
      <c r="B22" s="100">
        <v>1</v>
      </c>
      <c r="C22" s="101" t="str">
        <f>VLOOKUP($A22,PERTANYAAN!$A$18:$E$71,3,0)</f>
        <v>Identitas (KTP &amp; KK)</v>
      </c>
      <c r="D22" s="46">
        <f>VLOOKUP($A22,PERTANYAAN!$A$18:$E$71,5,0)</f>
        <v>0.01</v>
      </c>
      <c r="E22" s="17"/>
      <c r="F22" s="16" t="s">
        <v>16</v>
      </c>
      <c r="G22" s="16"/>
      <c r="H22" s="102"/>
      <c r="I22" s="102"/>
      <c r="J22" s="102"/>
      <c r="K22" s="102"/>
      <c r="L22" s="102"/>
      <c r="M22" s="16">
        <f>IF(F22="V",D22*100,0)</f>
        <v>1</v>
      </c>
      <c r="N22" s="103"/>
    </row>
    <row r="23" spans="1:14" x14ac:dyDescent="0.4">
      <c r="A23" s="99" t="s">
        <v>105</v>
      </c>
      <c r="B23" s="100">
        <f>B22+1</f>
        <v>2</v>
      </c>
      <c r="C23" s="101" t="str">
        <f>VLOOKUP($A23,PERTANYAAN!$A$18:$E$71,3,0)</f>
        <v>SIM A (utk jabatan di Divisi Operasi)</v>
      </c>
      <c r="D23" s="46">
        <f>VLOOKUP($A23,PERTANYAAN!$A$18:$E$71,5,0)</f>
        <v>0.02</v>
      </c>
      <c r="E23" s="17"/>
      <c r="F23" s="16" t="s">
        <v>16</v>
      </c>
      <c r="G23" s="16"/>
      <c r="H23" s="102"/>
      <c r="I23" s="102"/>
      <c r="J23" s="102"/>
      <c r="K23" s="102"/>
      <c r="L23" s="102"/>
      <c r="M23" s="16">
        <f>IF(F23="V",D23*100,0)</f>
        <v>2</v>
      </c>
      <c r="N23" s="103" t="s">
        <v>156</v>
      </c>
    </row>
    <row r="24" spans="1:14" x14ac:dyDescent="0.4">
      <c r="A24" s="99" t="s">
        <v>106</v>
      </c>
      <c r="B24" s="100">
        <f t="shared" ref="B24:B25" si="0">B23+1</f>
        <v>3</v>
      </c>
      <c r="C24" s="101" t="str">
        <f>VLOOKUP($A24,PERTANYAAN!$A$18:$E$71,3,0)</f>
        <v>SIM C</v>
      </c>
      <c r="D24" s="46">
        <f>VLOOKUP($A24,PERTANYAAN!$A$18:$E$71,5,0)</f>
        <v>0.01</v>
      </c>
      <c r="E24" s="17"/>
      <c r="F24" s="16" t="s">
        <v>16</v>
      </c>
      <c r="G24" s="16"/>
      <c r="H24" s="102"/>
      <c r="I24" s="102"/>
      <c r="J24" s="102"/>
      <c r="K24" s="102"/>
      <c r="L24" s="102"/>
      <c r="M24" s="16">
        <f>IF(F24="V",D24*100,0)</f>
        <v>1</v>
      </c>
      <c r="N24" s="103"/>
    </row>
    <row r="25" spans="1:14" x14ac:dyDescent="0.4">
      <c r="A25" s="99" t="s">
        <v>107</v>
      </c>
      <c r="B25" s="100">
        <f t="shared" si="0"/>
        <v>4</v>
      </c>
      <c r="C25" s="101" t="str">
        <f>VLOOKUP($A25,PERTANYAAN!$A$18:$E$71,3,0)</f>
        <v>NPWP</v>
      </c>
      <c r="D25" s="46">
        <f>VLOOKUP($A25,PERTANYAAN!$A$18:$E$71,5,0)</f>
        <v>0.01</v>
      </c>
      <c r="E25" s="17"/>
      <c r="F25" s="16" t="s">
        <v>16</v>
      </c>
      <c r="G25" s="16"/>
      <c r="H25" s="102"/>
      <c r="I25" s="102"/>
      <c r="J25" s="102"/>
      <c r="K25" s="102"/>
      <c r="L25" s="102"/>
      <c r="M25" s="16">
        <f>IF(F25="V",D25*100,0)</f>
        <v>1</v>
      </c>
      <c r="N25" s="103"/>
    </row>
    <row r="26" spans="1:14" x14ac:dyDescent="0.4">
      <c r="A26" s="92"/>
      <c r="B26" s="104"/>
      <c r="C26" s="103"/>
      <c r="D26" s="17"/>
      <c r="E26" s="17"/>
      <c r="F26" s="16"/>
      <c r="G26" s="16"/>
      <c r="H26" s="102"/>
      <c r="I26" s="102"/>
      <c r="J26" s="102"/>
      <c r="K26" s="102"/>
      <c r="L26" s="102"/>
      <c r="M26" s="16"/>
      <c r="N26" s="103"/>
    </row>
    <row r="27" spans="1:14" x14ac:dyDescent="0.4">
      <c r="A27" s="92"/>
      <c r="B27" s="48" t="s">
        <v>97</v>
      </c>
      <c r="C27" s="49" t="s">
        <v>21</v>
      </c>
      <c r="D27" s="51">
        <f>D28</f>
        <v>0.35000000000000003</v>
      </c>
      <c r="E27" s="57"/>
      <c r="F27" s="60"/>
      <c r="G27" s="60"/>
      <c r="H27" s="97"/>
      <c r="I27" s="97"/>
      <c r="J27" s="97"/>
      <c r="K27" s="97"/>
      <c r="L27" s="97"/>
      <c r="M27" s="54">
        <f>M28</f>
        <v>33</v>
      </c>
      <c r="N27" s="98"/>
    </row>
    <row r="28" spans="1:14" x14ac:dyDescent="0.4">
      <c r="A28" s="99" t="s">
        <v>108</v>
      </c>
      <c r="B28" s="100">
        <v>1</v>
      </c>
      <c r="C28" s="101" t="str">
        <f>VLOOKUP($A28,PERTANYAAN!$A$18:$E$71,3,0)</f>
        <v>Operasi / Logistik</v>
      </c>
      <c r="D28" s="46">
        <f>VLOOKUP($A28,PERTANYAAN!$A$18:$E$71,5,0)</f>
        <v>0.35000000000000003</v>
      </c>
      <c r="E28" s="17"/>
      <c r="F28" s="16"/>
      <c r="G28" s="16"/>
      <c r="H28" s="102"/>
      <c r="I28" s="102"/>
      <c r="J28" s="102"/>
      <c r="K28" s="102"/>
      <c r="L28" s="102"/>
      <c r="M28" s="16">
        <f>SUM(M29:M33)</f>
        <v>33</v>
      </c>
      <c r="N28" s="103"/>
    </row>
    <row r="29" spans="1:14" x14ac:dyDescent="0.4">
      <c r="A29" s="99" t="s">
        <v>109</v>
      </c>
      <c r="B29" s="100" t="s">
        <v>6</v>
      </c>
      <c r="C29" s="101" t="str">
        <f>VLOOKUP($A29,PERTANYAAN!$A$18:$E$71,3,0)</f>
        <v>Skill Mengemudi</v>
      </c>
      <c r="D29" s="46">
        <f>VLOOKUP($A29,PERTANYAAN!$A$18:$E$71,5,0)</f>
        <v>0.15</v>
      </c>
      <c r="E29" s="17"/>
      <c r="F29" s="16"/>
      <c r="G29" s="16"/>
      <c r="H29" s="102"/>
      <c r="I29" s="102"/>
      <c r="J29" s="102"/>
      <c r="K29" s="102"/>
      <c r="L29" s="102" t="s">
        <v>16</v>
      </c>
      <c r="M29" s="16">
        <f>IF(H29="V",$D29*H$15,IF(I29="V",$D29*I$15,IF(J29="V",$D29*J$15,IF(K29="V",$D29*K$15,IF(L29="V",$D29*L$15,0)))))*100</f>
        <v>15</v>
      </c>
      <c r="N29" s="103"/>
    </row>
    <row r="30" spans="1:14" x14ac:dyDescent="0.4">
      <c r="A30" s="99" t="s">
        <v>110</v>
      </c>
      <c r="B30" s="100" t="s">
        <v>6</v>
      </c>
      <c r="C30" s="101" t="str">
        <f>VLOOKUP($A30,PERTANYAAN!$A$18:$E$71,3,0)</f>
        <v>Flow Administrasi Logistik</v>
      </c>
      <c r="D30" s="46">
        <f>VLOOKUP($A30,PERTANYAAN!$A$18:$E$71,5,0)</f>
        <v>0.1</v>
      </c>
      <c r="E30" s="17"/>
      <c r="F30" s="16"/>
      <c r="G30" s="16"/>
      <c r="H30" s="102"/>
      <c r="I30" s="102"/>
      <c r="J30" s="102"/>
      <c r="K30" s="102" t="s">
        <v>16</v>
      </c>
      <c r="L30" s="102"/>
      <c r="M30" s="16">
        <f t="shared" ref="M30:M32" si="1">IF(H30="V",$D30*H$15,IF(I30="V",$D30*I$15,IF(J30="V",$D30*J$15,IF(K30="V",$D30*K$15,IF(L30="V",$D30*L$15,0)))))*100</f>
        <v>8.0000000000000018</v>
      </c>
      <c r="N30" s="103"/>
    </row>
    <row r="31" spans="1:14" x14ac:dyDescent="0.4">
      <c r="A31" s="99" t="s">
        <v>111</v>
      </c>
      <c r="B31" s="100" t="s">
        <v>6</v>
      </c>
      <c r="C31" s="101" t="str">
        <f>VLOOKUP($A31,PERTANYAAN!$A$18:$E$71,3,0)</f>
        <v>Pengetahuan terkait logistik</v>
      </c>
      <c r="D31" s="46">
        <f>VLOOKUP($A31,PERTANYAAN!$A$18:$E$71,5,0)</f>
        <v>2.5000000000000001E-2</v>
      </c>
      <c r="E31" s="17"/>
      <c r="F31" s="16"/>
      <c r="G31" s="16"/>
      <c r="H31" s="102"/>
      <c r="I31" s="102"/>
      <c r="J31" s="102"/>
      <c r="K31" s="102"/>
      <c r="L31" s="102" t="s">
        <v>16</v>
      </c>
      <c r="M31" s="16">
        <f t="shared" si="1"/>
        <v>2.5</v>
      </c>
      <c r="N31" s="103"/>
    </row>
    <row r="32" spans="1:14" x14ac:dyDescent="0.4">
      <c r="A32" s="99" t="s">
        <v>112</v>
      </c>
      <c r="B32" s="100" t="s">
        <v>6</v>
      </c>
      <c r="C32" s="101" t="str">
        <f>VLOOKUP($A32,PERTANYAAN!$A$18:$E$71,3,0)</f>
        <v>Pengalaman di Bongkar Muat</v>
      </c>
      <c r="D32" s="46">
        <f>VLOOKUP($A32,PERTANYAAN!$A$18:$E$71,5,0)</f>
        <v>7.4999999999999997E-2</v>
      </c>
      <c r="E32" s="17"/>
      <c r="F32" s="16"/>
      <c r="G32" s="16"/>
      <c r="H32" s="102"/>
      <c r="I32" s="102"/>
      <c r="J32" s="102"/>
      <c r="K32" s="102"/>
      <c r="L32" s="102" t="s">
        <v>16</v>
      </c>
      <c r="M32" s="16">
        <f t="shared" si="1"/>
        <v>7.5</v>
      </c>
      <c r="N32" s="103"/>
    </row>
    <row r="33" spans="1:14" x14ac:dyDescent="0.4">
      <c r="A33" s="92"/>
      <c r="B33" s="100"/>
      <c r="C33" s="103"/>
      <c r="D33" s="17"/>
      <c r="E33" s="17"/>
      <c r="F33" s="16"/>
      <c r="G33" s="16"/>
      <c r="H33" s="102"/>
      <c r="I33" s="102"/>
      <c r="J33" s="102"/>
      <c r="K33" s="102"/>
      <c r="L33" s="102"/>
      <c r="M33" s="16"/>
      <c r="N33" s="103"/>
    </row>
    <row r="34" spans="1:14" hidden="1" outlineLevel="1" x14ac:dyDescent="0.4">
      <c r="A34" s="92"/>
      <c r="B34" s="100">
        <f>B28+1</f>
        <v>2</v>
      </c>
      <c r="C34" s="103" t="s">
        <v>22</v>
      </c>
      <c r="D34" s="17">
        <f>SUM(D35:D37)</f>
        <v>0.35</v>
      </c>
      <c r="E34" s="17"/>
      <c r="F34" s="16"/>
      <c r="G34" s="16"/>
      <c r="H34" s="102"/>
      <c r="I34" s="102"/>
      <c r="J34" s="102"/>
      <c r="K34" s="102"/>
      <c r="L34" s="102"/>
      <c r="M34" s="16"/>
      <c r="N34" s="103"/>
    </row>
    <row r="35" spans="1:14" hidden="1" outlineLevel="1" x14ac:dyDescent="0.4">
      <c r="A35" s="92"/>
      <c r="B35" s="100" t="s">
        <v>6</v>
      </c>
      <c r="C35" s="103" t="s">
        <v>44</v>
      </c>
      <c r="D35" s="17">
        <v>0.15</v>
      </c>
      <c r="E35" s="17"/>
      <c r="F35" s="16"/>
      <c r="G35" s="16"/>
      <c r="H35" s="102"/>
      <c r="I35" s="102"/>
      <c r="J35" s="102"/>
      <c r="K35" s="102"/>
      <c r="L35" s="102"/>
      <c r="M35" s="16"/>
      <c r="N35" s="103"/>
    </row>
    <row r="36" spans="1:14" hidden="1" outlineLevel="1" x14ac:dyDescent="0.4">
      <c r="A36" s="92"/>
      <c r="B36" s="100" t="s">
        <v>6</v>
      </c>
      <c r="C36" s="103" t="s">
        <v>50</v>
      </c>
      <c r="D36" s="17">
        <v>0.2</v>
      </c>
      <c r="E36" s="17"/>
      <c r="F36" s="16"/>
      <c r="G36" s="16"/>
      <c r="H36" s="102"/>
      <c r="I36" s="102"/>
      <c r="J36" s="102"/>
      <c r="K36" s="102"/>
      <c r="L36" s="102"/>
      <c r="M36" s="16"/>
      <c r="N36" s="103"/>
    </row>
    <row r="37" spans="1:14" hidden="1" outlineLevel="1" x14ac:dyDescent="0.4">
      <c r="A37" s="92"/>
      <c r="B37" s="100"/>
      <c r="C37" s="103"/>
      <c r="D37" s="17"/>
      <c r="E37" s="17"/>
      <c r="F37" s="16"/>
      <c r="G37" s="16"/>
      <c r="H37" s="102"/>
      <c r="I37" s="102"/>
      <c r="J37" s="102"/>
      <c r="K37" s="102"/>
      <c r="L37" s="102"/>
      <c r="M37" s="16"/>
      <c r="N37" s="103"/>
    </row>
    <row r="38" spans="1:14" hidden="1" outlineLevel="1" x14ac:dyDescent="0.4">
      <c r="A38" s="92"/>
      <c r="B38" s="104">
        <v>3</v>
      </c>
      <c r="C38" s="103" t="s">
        <v>23</v>
      </c>
      <c r="D38" s="17"/>
      <c r="E38" s="17"/>
      <c r="F38" s="16"/>
      <c r="G38" s="16"/>
      <c r="H38" s="102"/>
      <c r="I38" s="102"/>
      <c r="J38" s="102"/>
      <c r="K38" s="102"/>
      <c r="L38" s="102"/>
      <c r="M38" s="16"/>
      <c r="N38" s="103"/>
    </row>
    <row r="39" spans="1:14" hidden="1" outlineLevel="1" x14ac:dyDescent="0.4">
      <c r="A39" s="92"/>
      <c r="B39" s="100" t="s">
        <v>6</v>
      </c>
      <c r="C39" s="103" t="s">
        <v>52</v>
      </c>
      <c r="D39" s="17"/>
      <c r="E39" s="17"/>
      <c r="F39" s="16"/>
      <c r="G39" s="16"/>
      <c r="H39" s="102"/>
      <c r="I39" s="102"/>
      <c r="J39" s="102"/>
      <c r="K39" s="102"/>
      <c r="L39" s="102"/>
      <c r="M39" s="16"/>
      <c r="N39" s="103"/>
    </row>
    <row r="40" spans="1:14" hidden="1" outlineLevel="1" x14ac:dyDescent="0.4">
      <c r="A40" s="92"/>
      <c r="B40" s="100" t="s">
        <v>6</v>
      </c>
      <c r="C40" s="103" t="s">
        <v>53</v>
      </c>
      <c r="D40" s="17"/>
      <c r="E40" s="17"/>
      <c r="F40" s="16"/>
      <c r="G40" s="16"/>
      <c r="H40" s="102"/>
      <c r="I40" s="102"/>
      <c r="J40" s="102"/>
      <c r="K40" s="102"/>
      <c r="L40" s="102"/>
      <c r="M40" s="16"/>
      <c r="N40" s="103"/>
    </row>
    <row r="41" spans="1:14" hidden="1" outlineLevel="1" x14ac:dyDescent="0.4">
      <c r="A41" s="92"/>
      <c r="B41" s="100" t="s">
        <v>6</v>
      </c>
      <c r="C41" s="103"/>
      <c r="D41" s="17"/>
      <c r="E41" s="17"/>
      <c r="F41" s="16"/>
      <c r="G41" s="16"/>
      <c r="H41" s="102"/>
      <c r="I41" s="102"/>
      <c r="J41" s="102"/>
      <c r="K41" s="102"/>
      <c r="L41" s="102"/>
      <c r="M41" s="16"/>
      <c r="N41" s="103"/>
    </row>
    <row r="42" spans="1:14" hidden="1" outlineLevel="1" x14ac:dyDescent="0.4">
      <c r="A42" s="92"/>
      <c r="B42" s="104"/>
      <c r="C42" s="103"/>
      <c r="D42" s="17"/>
      <c r="E42" s="17"/>
      <c r="F42" s="16"/>
      <c r="G42" s="16"/>
      <c r="H42" s="102"/>
      <c r="I42" s="102"/>
      <c r="J42" s="102"/>
      <c r="K42" s="102"/>
      <c r="L42" s="102"/>
      <c r="M42" s="16"/>
      <c r="N42" s="103"/>
    </row>
    <row r="43" spans="1:14" s="2" customFormat="1" collapsed="1" x14ac:dyDescent="0.4">
      <c r="A43" s="3"/>
      <c r="B43" s="48" t="s">
        <v>98</v>
      </c>
      <c r="C43" s="49" t="s">
        <v>24</v>
      </c>
      <c r="D43" s="51">
        <f>D44</f>
        <v>0.25</v>
      </c>
      <c r="E43" s="51"/>
      <c r="F43" s="54"/>
      <c r="G43" s="54"/>
      <c r="H43" s="59"/>
      <c r="I43" s="59"/>
      <c r="J43" s="59"/>
      <c r="K43" s="59"/>
      <c r="L43" s="59"/>
      <c r="M43" s="54">
        <f>M44</f>
        <v>24.5</v>
      </c>
      <c r="N43" s="49"/>
    </row>
    <row r="44" spans="1:14" x14ac:dyDescent="0.4">
      <c r="A44" s="92" t="s">
        <v>113</v>
      </c>
      <c r="B44" s="104">
        <v>1</v>
      </c>
      <c r="C44" s="101" t="str">
        <f>VLOOKUP($A44,PERTANYAAN!$A$18:$E$71,3,0)</f>
        <v>Staff</v>
      </c>
      <c r="D44" s="46">
        <f>VLOOKUP($A44,PERTANYAAN!$A$18:$E$71,5,0)</f>
        <v>0.25</v>
      </c>
      <c r="E44" s="17"/>
      <c r="F44" s="16"/>
      <c r="G44" s="16"/>
      <c r="H44" s="102"/>
      <c r="I44" s="102"/>
      <c r="J44" s="102"/>
      <c r="K44" s="102"/>
      <c r="L44" s="102"/>
      <c r="M44" s="16">
        <f>SUM(M45:M48)</f>
        <v>24.5</v>
      </c>
      <c r="N44" s="103"/>
    </row>
    <row r="45" spans="1:14" x14ac:dyDescent="0.4">
      <c r="A45" s="99" t="s">
        <v>114</v>
      </c>
      <c r="B45" s="100" t="s">
        <v>6</v>
      </c>
      <c r="C45" s="101" t="str">
        <f>VLOOKUP($A45,PERTANYAAN!$A$18:$E$71,3,0)</f>
        <v>Kepemimpinan</v>
      </c>
      <c r="D45" s="46">
        <f>VLOOKUP($A45,PERTANYAAN!$A$18:$E$71,5,0)</f>
        <v>2.5000000000000001E-2</v>
      </c>
      <c r="E45" s="17"/>
      <c r="F45" s="16"/>
      <c r="G45" s="16"/>
      <c r="H45" s="102"/>
      <c r="I45" s="102"/>
      <c r="J45" s="102"/>
      <c r="K45" s="102" t="s">
        <v>16</v>
      </c>
      <c r="L45" s="102"/>
      <c r="M45" s="16">
        <f>IF(H45="V",$D45*H$15,IF(I45="V",$D45*I$15,IF(J45="V",$D45*J$15,IF(K45="V",$D45*K$15,IF(L45="V",$D45*L$15,0)))))*100</f>
        <v>2.0000000000000004</v>
      </c>
      <c r="N45" s="103"/>
    </row>
    <row r="46" spans="1:14" x14ac:dyDescent="0.4">
      <c r="A46" s="99" t="s">
        <v>115</v>
      </c>
      <c r="B46" s="100" t="s">
        <v>6</v>
      </c>
      <c r="C46" s="101" t="str">
        <f>VLOOKUP($A46,PERTANYAAN!$A$18:$E$71,3,0)</f>
        <v>Komunikasi</v>
      </c>
      <c r="D46" s="46">
        <f>VLOOKUP($A46,PERTANYAAN!$A$18:$E$71,5,0)</f>
        <v>0.1</v>
      </c>
      <c r="E46" s="17"/>
      <c r="F46" s="16"/>
      <c r="G46" s="16"/>
      <c r="H46" s="102"/>
      <c r="I46" s="102"/>
      <c r="J46" s="102"/>
      <c r="K46" s="102"/>
      <c r="L46" s="102" t="s">
        <v>16</v>
      </c>
      <c r="M46" s="16">
        <f>IF(H46="V",$D46*H$15,IF(I46="V",$D46*I$15,IF(J46="V",$D46*J$15,IF(K46="V",$D46*K$15,IF(L46="V",$D46*L$15,0)))))*100</f>
        <v>10</v>
      </c>
      <c r="N46" s="103"/>
    </row>
    <row r="47" spans="1:14" x14ac:dyDescent="0.4">
      <c r="A47" s="99" t="s">
        <v>116</v>
      </c>
      <c r="B47" s="100" t="s">
        <v>6</v>
      </c>
      <c r="C47" s="101" t="str">
        <f>VLOOKUP($A47,PERTANYAAN!$A$18:$E$71,3,0)</f>
        <v>Patuh pada Peraturan / Commitment</v>
      </c>
      <c r="D47" s="46">
        <f>VLOOKUP($A47,PERTANYAAN!$A$18:$E$71,5,0)</f>
        <v>0.05</v>
      </c>
      <c r="E47" s="17"/>
      <c r="F47" s="16"/>
      <c r="G47" s="16"/>
      <c r="H47" s="102"/>
      <c r="I47" s="102"/>
      <c r="J47" s="102"/>
      <c r="K47" s="102"/>
      <c r="L47" s="102" t="s">
        <v>16</v>
      </c>
      <c r="M47" s="16">
        <f>IF(H47="V",$D47*H$15,IF(I47="V",$D47*I$15,IF(J47="V",$D47*J$15,IF(K47="V",$D47*K$15,IF(L47="V",$D47*L$15,0)))))*100</f>
        <v>5</v>
      </c>
      <c r="N47" s="103"/>
    </row>
    <row r="48" spans="1:14" x14ac:dyDescent="0.4">
      <c r="A48" s="99" t="s">
        <v>117</v>
      </c>
      <c r="B48" s="100" t="s">
        <v>6</v>
      </c>
      <c r="C48" s="101" t="str">
        <f>VLOOKUP($A48,PERTANYAAN!$A$18:$E$71,3,0)</f>
        <v>Determinasi thd tekanan</v>
      </c>
      <c r="D48" s="46">
        <f>VLOOKUP($A48,PERTANYAAN!$A$18:$E$71,5,0)</f>
        <v>7.4999999999999997E-2</v>
      </c>
      <c r="E48" s="17"/>
      <c r="F48" s="16"/>
      <c r="G48" s="16"/>
      <c r="H48" s="102"/>
      <c r="I48" s="102"/>
      <c r="J48" s="102"/>
      <c r="K48" s="102"/>
      <c r="L48" s="102" t="s">
        <v>16</v>
      </c>
      <c r="M48" s="16">
        <f>IF(H48="V",$D48*H$15,IF(I48="V",$D48*I$15,IF(J48="V",$D48*J$15,IF(K48="V",$D48*K$15,IF(L48="V",$D48*L$15,0)))))*100</f>
        <v>7.5</v>
      </c>
      <c r="N48" s="103"/>
    </row>
    <row r="49" spans="1:14" x14ac:dyDescent="0.4">
      <c r="A49" s="92"/>
      <c r="B49" s="100"/>
      <c r="C49" s="103"/>
      <c r="D49" s="17"/>
      <c r="E49" s="17"/>
      <c r="F49" s="16"/>
      <c r="G49" s="16"/>
      <c r="H49" s="102"/>
      <c r="I49" s="102"/>
      <c r="J49" s="102"/>
      <c r="K49" s="102"/>
      <c r="L49" s="102"/>
      <c r="M49" s="16"/>
      <c r="N49" s="103"/>
    </row>
    <row r="50" spans="1:14" hidden="1" outlineLevel="1" x14ac:dyDescent="0.4">
      <c r="A50" s="92"/>
      <c r="B50" s="104">
        <v>2</v>
      </c>
      <c r="C50" s="103" t="s">
        <v>26</v>
      </c>
      <c r="D50" s="17"/>
      <c r="E50" s="17"/>
      <c r="F50" s="16"/>
      <c r="G50" s="16"/>
      <c r="H50" s="102"/>
      <c r="I50" s="102"/>
      <c r="J50" s="102"/>
      <c r="K50" s="102"/>
      <c r="L50" s="102"/>
      <c r="M50" s="16"/>
      <c r="N50" s="103"/>
    </row>
    <row r="51" spans="1:14" hidden="1" outlineLevel="1" x14ac:dyDescent="0.4">
      <c r="A51" s="92"/>
      <c r="B51" s="100" t="s">
        <v>6</v>
      </c>
      <c r="C51" s="103" t="s">
        <v>54</v>
      </c>
      <c r="D51" s="17"/>
      <c r="E51" s="17"/>
      <c r="F51" s="16"/>
      <c r="G51" s="16"/>
      <c r="H51" s="102"/>
      <c r="I51" s="102"/>
      <c r="J51" s="102"/>
      <c r="K51" s="102"/>
      <c r="L51" s="102"/>
      <c r="M51" s="16"/>
      <c r="N51" s="103"/>
    </row>
    <row r="52" spans="1:14" hidden="1" outlineLevel="1" x14ac:dyDescent="0.4">
      <c r="A52" s="92"/>
      <c r="B52" s="100" t="s">
        <v>6</v>
      </c>
      <c r="C52" s="103" t="s">
        <v>55</v>
      </c>
      <c r="D52" s="17"/>
      <c r="E52" s="17"/>
      <c r="F52" s="16"/>
      <c r="G52" s="16"/>
      <c r="H52" s="102"/>
      <c r="I52" s="102"/>
      <c r="J52" s="102"/>
      <c r="K52" s="102"/>
      <c r="L52" s="102"/>
      <c r="M52" s="16"/>
      <c r="N52" s="103"/>
    </row>
    <row r="53" spans="1:14" hidden="1" outlineLevel="1" x14ac:dyDescent="0.4">
      <c r="A53" s="92"/>
      <c r="B53" s="100" t="s">
        <v>6</v>
      </c>
      <c r="C53" s="103" t="s">
        <v>56</v>
      </c>
      <c r="D53" s="17"/>
      <c r="E53" s="17"/>
      <c r="F53" s="16"/>
      <c r="G53" s="16"/>
      <c r="H53" s="102"/>
      <c r="I53" s="102"/>
      <c r="J53" s="102"/>
      <c r="K53" s="102"/>
      <c r="L53" s="102"/>
      <c r="M53" s="16"/>
      <c r="N53" s="103"/>
    </row>
    <row r="54" spans="1:14" hidden="1" outlineLevel="1" x14ac:dyDescent="0.4">
      <c r="A54" s="92"/>
      <c r="B54" s="100"/>
      <c r="C54" s="103"/>
      <c r="D54" s="17"/>
      <c r="E54" s="17"/>
      <c r="F54" s="16"/>
      <c r="G54" s="16"/>
      <c r="H54" s="102"/>
      <c r="I54" s="102"/>
      <c r="J54" s="102"/>
      <c r="K54" s="102"/>
      <c r="L54" s="102"/>
      <c r="M54" s="16"/>
      <c r="N54" s="103"/>
    </row>
    <row r="55" spans="1:14" hidden="1" outlineLevel="1" x14ac:dyDescent="0.4">
      <c r="A55" s="92"/>
      <c r="B55" s="104">
        <v>3</v>
      </c>
      <c r="C55" s="103" t="s">
        <v>27</v>
      </c>
      <c r="D55" s="17"/>
      <c r="E55" s="17"/>
      <c r="F55" s="16"/>
      <c r="G55" s="16"/>
      <c r="H55" s="102"/>
      <c r="I55" s="102"/>
      <c r="J55" s="102"/>
      <c r="K55" s="102"/>
      <c r="L55" s="102"/>
      <c r="M55" s="16"/>
      <c r="N55" s="103"/>
    </row>
    <row r="56" spans="1:14" hidden="1" outlineLevel="1" x14ac:dyDescent="0.4">
      <c r="A56" s="92"/>
      <c r="B56" s="100" t="s">
        <v>6</v>
      </c>
      <c r="C56" s="103" t="s">
        <v>54</v>
      </c>
      <c r="D56" s="17"/>
      <c r="E56" s="17"/>
      <c r="F56" s="16"/>
      <c r="G56" s="16"/>
      <c r="H56" s="102"/>
      <c r="I56" s="102"/>
      <c r="J56" s="102"/>
      <c r="K56" s="102"/>
      <c r="L56" s="102"/>
      <c r="M56" s="16"/>
      <c r="N56" s="103"/>
    </row>
    <row r="57" spans="1:14" hidden="1" outlineLevel="1" x14ac:dyDescent="0.4">
      <c r="A57" s="92"/>
      <c r="B57" s="100" t="s">
        <v>6</v>
      </c>
      <c r="C57" s="103" t="s">
        <v>56</v>
      </c>
      <c r="D57" s="17"/>
      <c r="E57" s="17"/>
      <c r="F57" s="16"/>
      <c r="G57" s="16"/>
      <c r="H57" s="102"/>
      <c r="I57" s="102"/>
      <c r="J57" s="102"/>
      <c r="K57" s="102"/>
      <c r="L57" s="102"/>
      <c r="M57" s="16"/>
      <c r="N57" s="103"/>
    </row>
    <row r="58" spans="1:14" hidden="1" outlineLevel="1" x14ac:dyDescent="0.4">
      <c r="A58" s="92"/>
      <c r="B58" s="100" t="s">
        <v>6</v>
      </c>
      <c r="C58" s="103" t="s">
        <v>57</v>
      </c>
      <c r="D58" s="17"/>
      <c r="E58" s="17"/>
      <c r="F58" s="16"/>
      <c r="G58" s="16"/>
      <c r="H58" s="102"/>
      <c r="I58" s="102"/>
      <c r="J58" s="102"/>
      <c r="K58" s="102"/>
      <c r="L58" s="102"/>
      <c r="M58" s="16"/>
      <c r="N58" s="103"/>
    </row>
    <row r="59" spans="1:14" hidden="1" outlineLevel="1" x14ac:dyDescent="0.4">
      <c r="A59" s="92"/>
      <c r="B59" s="104"/>
      <c r="C59" s="103"/>
      <c r="D59" s="17"/>
      <c r="E59" s="17"/>
      <c r="F59" s="16"/>
      <c r="G59" s="16"/>
      <c r="H59" s="102"/>
      <c r="I59" s="102"/>
      <c r="J59" s="102"/>
      <c r="K59" s="102"/>
      <c r="L59" s="102"/>
      <c r="M59" s="16"/>
      <c r="N59" s="103"/>
    </row>
    <row r="60" spans="1:14" s="2" customFormat="1" collapsed="1" x14ac:dyDescent="0.4">
      <c r="A60" s="3"/>
      <c r="B60" s="48" t="s">
        <v>99</v>
      </c>
      <c r="C60" s="49" t="s">
        <v>46</v>
      </c>
      <c r="D60" s="51">
        <f>SUM(D61:D64)</f>
        <v>0.15</v>
      </c>
      <c r="E60" s="51"/>
      <c r="F60" s="54"/>
      <c r="G60" s="54"/>
      <c r="H60" s="59"/>
      <c r="I60" s="59"/>
      <c r="J60" s="59"/>
      <c r="K60" s="59"/>
      <c r="L60" s="59"/>
      <c r="M60" s="54">
        <f>SUM(M61:M64)</f>
        <v>13.5</v>
      </c>
      <c r="N60" s="49"/>
    </row>
    <row r="61" spans="1:14" x14ac:dyDescent="0.4">
      <c r="A61" s="99" t="s">
        <v>118</v>
      </c>
      <c r="B61" s="100" t="s">
        <v>6</v>
      </c>
      <c r="C61" s="101" t="str">
        <f>VLOOKUP($A61,PERTANYAAN!$A$18:$E$71,3,0)</f>
        <v>Antusiasme / Keinginan bergabung</v>
      </c>
      <c r="D61" s="46">
        <f>VLOOKUP($A61,PERTANYAAN!$A$18:$E$71,5,0)</f>
        <v>7.4999999999999997E-2</v>
      </c>
      <c r="E61" s="17"/>
      <c r="F61" s="16"/>
      <c r="G61" s="16"/>
      <c r="H61" s="102"/>
      <c r="I61" s="102"/>
      <c r="J61" s="102"/>
      <c r="K61" s="102"/>
      <c r="L61" s="102" t="s">
        <v>16</v>
      </c>
      <c r="M61" s="16">
        <f t="shared" ref="M61:M63" si="2">IF(H61="V",$D61*H$15,IF(I61="V",$D61*I$15,IF(J61="V",$D61*J$15,IF(K61="V",$D61*K$15,IF(L61="V",$D61*L$15,0)))))*100</f>
        <v>7.5</v>
      </c>
      <c r="N61" s="103"/>
    </row>
    <row r="62" spans="1:14" x14ac:dyDescent="0.4">
      <c r="A62" s="99" t="s">
        <v>119</v>
      </c>
      <c r="B62" s="100" t="s">
        <v>6</v>
      </c>
      <c r="C62" s="101" t="str">
        <f>VLOOKUP($A62,PERTANYAAN!$A$18:$E$71,3,0)</f>
        <v>Inisiatif</v>
      </c>
      <c r="D62" s="46">
        <f>VLOOKUP($A62,PERTANYAAN!$A$18:$E$71,5,0)</f>
        <v>0.05</v>
      </c>
      <c r="E62" s="17"/>
      <c r="F62" s="16"/>
      <c r="G62" s="16"/>
      <c r="H62" s="102"/>
      <c r="I62" s="102"/>
      <c r="J62" s="102"/>
      <c r="K62" s="102" t="s">
        <v>16</v>
      </c>
      <c r="L62" s="102"/>
      <c r="M62" s="16">
        <f t="shared" si="2"/>
        <v>4.0000000000000009</v>
      </c>
      <c r="N62" s="103"/>
    </row>
    <row r="63" spans="1:14" x14ac:dyDescent="0.4">
      <c r="A63" s="99" t="s">
        <v>120</v>
      </c>
      <c r="B63" s="100" t="s">
        <v>6</v>
      </c>
      <c r="C63" s="101" t="str">
        <f>VLOOKUP($A63,PERTANYAAN!$A$18:$E$71,3,0)</f>
        <v>Adaptif</v>
      </c>
      <c r="D63" s="46">
        <f>VLOOKUP($A63,PERTANYAAN!$A$18:$E$71,5,0)</f>
        <v>2.5000000000000001E-2</v>
      </c>
      <c r="E63" s="17"/>
      <c r="F63" s="16"/>
      <c r="G63" s="16"/>
      <c r="H63" s="102"/>
      <c r="I63" s="102"/>
      <c r="J63" s="102"/>
      <c r="K63" s="102" t="s">
        <v>16</v>
      </c>
      <c r="L63" s="102"/>
      <c r="M63" s="16">
        <f t="shared" si="2"/>
        <v>2.0000000000000004</v>
      </c>
      <c r="N63" s="103"/>
    </row>
    <row r="64" spans="1:14" x14ac:dyDescent="0.4">
      <c r="A64" s="92"/>
      <c r="B64" s="104"/>
      <c r="C64" s="103"/>
      <c r="D64" s="17"/>
      <c r="E64" s="17"/>
      <c r="F64" s="16"/>
      <c r="G64" s="16"/>
      <c r="H64" s="102"/>
      <c r="I64" s="102"/>
      <c r="J64" s="102"/>
      <c r="K64" s="102"/>
      <c r="L64" s="102"/>
      <c r="M64" s="16"/>
      <c r="N64" s="103"/>
    </row>
    <row r="65" spans="1:14" s="2" customFormat="1" x14ac:dyDescent="0.4">
      <c r="A65" s="3"/>
      <c r="B65" s="48" t="s">
        <v>100</v>
      </c>
      <c r="C65" s="49" t="s">
        <v>48</v>
      </c>
      <c r="D65" s="51">
        <f>SUM(D66:D68)</f>
        <v>0.05</v>
      </c>
      <c r="E65" s="51"/>
      <c r="F65" s="54"/>
      <c r="G65" s="54"/>
      <c r="H65" s="59"/>
      <c r="I65" s="59"/>
      <c r="J65" s="59"/>
      <c r="K65" s="59"/>
      <c r="L65" s="59"/>
      <c r="M65" s="54">
        <f>SUM(M66:M68)</f>
        <v>5</v>
      </c>
      <c r="N65" s="49"/>
    </row>
    <row r="66" spans="1:14" x14ac:dyDescent="0.4">
      <c r="A66" s="99" t="s">
        <v>121</v>
      </c>
      <c r="B66" s="100" t="s">
        <v>6</v>
      </c>
      <c r="C66" s="101" t="str">
        <f>VLOOKUP($A66,PERTANYAAN!$A$18:$E$71,3,0)</f>
        <v>Ekspektasi Salary (Mengukur Budget &amp; Skill)</v>
      </c>
      <c r="D66" s="46">
        <f>VLOOKUP($A66,PERTANYAAN!$A$18:$E$71,5,0)</f>
        <v>0.04</v>
      </c>
      <c r="E66" s="17"/>
      <c r="F66" s="16"/>
      <c r="G66" s="16"/>
      <c r="H66" s="102"/>
      <c r="I66" s="102"/>
      <c r="J66" s="102"/>
      <c r="K66" s="102"/>
      <c r="L66" s="102" t="s">
        <v>16</v>
      </c>
      <c r="M66" s="16">
        <f t="shared" ref="M66:M67" si="3">IF(H66="V",$D66*H$15,IF(I66="V",$D66*I$15,IF(J66="V",$D66*J$15,IF(K66="V",$D66*K$15,IF(L66="V",$D66*L$15,0)))))*100</f>
        <v>4</v>
      </c>
      <c r="N66" s="103"/>
    </row>
    <row r="67" spans="1:14" x14ac:dyDescent="0.4">
      <c r="A67" s="99" t="s">
        <v>122</v>
      </c>
      <c r="B67" s="100" t="s">
        <v>6</v>
      </c>
      <c r="C67" s="101" t="str">
        <f>VLOOKUP($A67,PERTANYAAN!$A$18:$E$71,3,0)</f>
        <v>Tujuan Karir</v>
      </c>
      <c r="D67" s="46">
        <f>VLOOKUP($A67,PERTANYAAN!$A$18:$E$71,5,0)</f>
        <v>0.01</v>
      </c>
      <c r="E67" s="17"/>
      <c r="F67" s="16"/>
      <c r="G67" s="16"/>
      <c r="H67" s="102"/>
      <c r="I67" s="102"/>
      <c r="J67" s="102"/>
      <c r="K67" s="102"/>
      <c r="L67" s="102" t="s">
        <v>16</v>
      </c>
      <c r="M67" s="16">
        <f t="shared" si="3"/>
        <v>1</v>
      </c>
      <c r="N67" s="103"/>
    </row>
    <row r="68" spans="1:14" x14ac:dyDescent="0.4">
      <c r="A68" s="99"/>
      <c r="B68" s="104"/>
      <c r="C68" s="103"/>
      <c r="D68" s="17"/>
      <c r="E68" s="17"/>
      <c r="F68" s="16"/>
      <c r="G68" s="16"/>
      <c r="H68" s="102"/>
      <c r="I68" s="102"/>
      <c r="J68" s="102"/>
      <c r="K68" s="102"/>
      <c r="L68" s="102"/>
      <c r="M68" s="16"/>
      <c r="N68" s="103"/>
    </row>
    <row r="69" spans="1:14" s="2" customFormat="1" x14ac:dyDescent="0.4">
      <c r="A69" s="3"/>
      <c r="B69" s="48" t="s">
        <v>101</v>
      </c>
      <c r="C69" s="49" t="s">
        <v>134</v>
      </c>
      <c r="D69" s="51">
        <f>SUM(D70:D70)</f>
        <v>0.05</v>
      </c>
      <c r="E69" s="51"/>
      <c r="F69" s="54"/>
      <c r="G69" s="54"/>
      <c r="H69" s="59"/>
      <c r="I69" s="59"/>
      <c r="J69" s="59"/>
      <c r="K69" s="59"/>
      <c r="L69" s="59"/>
      <c r="M69" s="54">
        <f>SUM(M70)</f>
        <v>4.0000000000000009</v>
      </c>
      <c r="N69" s="49"/>
    </row>
    <row r="70" spans="1:14" x14ac:dyDescent="0.4">
      <c r="A70" s="99" t="s">
        <v>123</v>
      </c>
      <c r="B70" s="100" t="s">
        <v>6</v>
      </c>
      <c r="C70" s="101" t="str">
        <f>VLOOKUP($A70,PERTANYAAN!$A$18:$E$71,3,0)</f>
        <v>Pertanyaan Spesifik User</v>
      </c>
      <c r="D70" s="46">
        <f>VLOOKUP($A70,PERTANYAAN!$A$18:$E$71,5,0)</f>
        <v>0.05</v>
      </c>
      <c r="E70" s="17"/>
      <c r="F70" s="16"/>
      <c r="G70" s="16"/>
      <c r="H70" s="102"/>
      <c r="I70" s="102"/>
      <c r="J70" s="102"/>
      <c r="K70" s="102" t="s">
        <v>16</v>
      </c>
      <c r="L70" s="102"/>
      <c r="M70" s="16">
        <f t="shared" ref="M70" si="4">IF(H70="V",$D70*H$15,IF(I70="V",$D70*I$15,IF(J70="V",$D70*J$15,IF(K70="V",$D70*K$15,IF(L70="V",$D70*L$15,0)))))*100</f>
        <v>4.0000000000000009</v>
      </c>
      <c r="N70" s="103"/>
    </row>
    <row r="71" spans="1:14" x14ac:dyDescent="0.4">
      <c r="B71" s="105"/>
      <c r="C71" s="106"/>
      <c r="D71" s="22"/>
      <c r="E71" s="22"/>
      <c r="F71" s="21"/>
      <c r="G71" s="21"/>
      <c r="H71" s="107"/>
      <c r="I71" s="107"/>
      <c r="J71" s="107"/>
      <c r="K71" s="107"/>
      <c r="L71" s="107"/>
      <c r="M71" s="21"/>
      <c r="N71" s="106"/>
    </row>
    <row r="73" spans="1:14" x14ac:dyDescent="0.4">
      <c r="H73" s="26" t="s">
        <v>61</v>
      </c>
    </row>
    <row r="74" spans="1:14" x14ac:dyDescent="0.4">
      <c r="H74" s="94" t="s">
        <v>39</v>
      </c>
      <c r="I74" s="94" t="s">
        <v>29</v>
      </c>
      <c r="J74" s="95" t="s">
        <v>69</v>
      </c>
    </row>
    <row r="75" spans="1:14" x14ac:dyDescent="0.4">
      <c r="H75" s="94" t="s">
        <v>40</v>
      </c>
      <c r="I75" s="94" t="s">
        <v>29</v>
      </c>
      <c r="J75" s="95" t="s">
        <v>70</v>
      </c>
    </row>
    <row r="76" spans="1:14" x14ac:dyDescent="0.4">
      <c r="H76" s="94" t="s">
        <v>41</v>
      </c>
      <c r="I76" s="94" t="s">
        <v>29</v>
      </c>
      <c r="J76" s="95" t="s">
        <v>71</v>
      </c>
    </row>
    <row r="77" spans="1:14" x14ac:dyDescent="0.4">
      <c r="H77" s="94" t="s">
        <v>42</v>
      </c>
      <c r="I77" s="94" t="s">
        <v>29</v>
      </c>
      <c r="J77" s="95" t="s">
        <v>72</v>
      </c>
    </row>
    <row r="78" spans="1:14" x14ac:dyDescent="0.4">
      <c r="H78" s="94" t="s">
        <v>43</v>
      </c>
      <c r="I78" s="94" t="s">
        <v>29</v>
      </c>
      <c r="J78" s="95" t="s">
        <v>73</v>
      </c>
    </row>
  </sheetData>
  <mergeCells count="8"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770B9-9084-45F6-AC33-4DDDC686482C}">
  <sheetPr>
    <tabColor rgb="FF00B0F0"/>
  </sheetPr>
  <dimension ref="A1:N78"/>
  <sheetViews>
    <sheetView zoomScaleNormal="100" workbookViewId="0">
      <pane xSplit="1" ySplit="14" topLeftCell="B15" activePane="bottomRight" state="frozen"/>
      <selection activeCell="N23" sqref="N23"/>
      <selection pane="topRight" activeCell="N23" sqref="N23"/>
      <selection pane="bottomLeft" activeCell="N23" sqref="N23"/>
      <selection pane="bottomRight" activeCell="N23" sqref="N23"/>
    </sheetView>
  </sheetViews>
  <sheetFormatPr defaultRowHeight="14.6" outlineLevelRow="1" x14ac:dyDescent="0.4"/>
  <cols>
    <col min="1" max="1" width="17.69140625" style="93" customWidth="1"/>
    <col min="2" max="2" width="4.3828125" style="92" bestFit="1" customWidth="1"/>
    <col min="3" max="3" width="40.15234375" style="93" bestFit="1" customWidth="1"/>
    <col min="4" max="4" width="9.23046875" style="5"/>
    <col min="5" max="5" width="1.69140625" style="5" customWidth="1"/>
    <col min="6" max="7" width="9.23046875" style="4"/>
    <col min="8" max="12" width="9.23046875" style="94"/>
    <col min="13" max="13" width="9.23046875" style="4"/>
    <col min="14" max="14" width="16.84375" style="93" customWidth="1"/>
    <col min="15" max="16384" width="9.23046875" style="93"/>
  </cols>
  <sheetData>
    <row r="1" spans="1:14" x14ac:dyDescent="0.4">
      <c r="A1" s="2" t="s">
        <v>125</v>
      </c>
    </row>
    <row r="2" spans="1:14" x14ac:dyDescent="0.4">
      <c r="A2" s="2" t="s">
        <v>0</v>
      </c>
    </row>
    <row r="5" spans="1:14" x14ac:dyDescent="0.4">
      <c r="A5" s="2" t="s">
        <v>1</v>
      </c>
      <c r="B5" s="92" t="s">
        <v>29</v>
      </c>
      <c r="C5" s="2" t="s">
        <v>148</v>
      </c>
      <c r="L5" s="26" t="s">
        <v>61</v>
      </c>
      <c r="M5" s="94"/>
      <c r="N5" s="94"/>
    </row>
    <row r="6" spans="1:14" x14ac:dyDescent="0.4">
      <c r="A6" s="2" t="s">
        <v>20</v>
      </c>
      <c r="B6" s="92" t="s">
        <v>29</v>
      </c>
      <c r="C6" s="93" t="s">
        <v>31</v>
      </c>
      <c r="L6" s="94" t="s">
        <v>39</v>
      </c>
      <c r="M6" s="94" t="s">
        <v>29</v>
      </c>
      <c r="N6" s="95" t="s">
        <v>69</v>
      </c>
    </row>
    <row r="7" spans="1:14" x14ac:dyDescent="0.4">
      <c r="A7" s="2" t="s">
        <v>32</v>
      </c>
      <c r="B7" s="92" t="s">
        <v>29</v>
      </c>
      <c r="C7" s="93" t="s">
        <v>150</v>
      </c>
      <c r="L7" s="94" t="s">
        <v>40</v>
      </c>
      <c r="M7" s="94" t="s">
        <v>29</v>
      </c>
      <c r="N7" s="95" t="s">
        <v>70</v>
      </c>
    </row>
    <row r="8" spans="1:14" x14ac:dyDescent="0.4">
      <c r="A8" s="2" t="s">
        <v>34</v>
      </c>
      <c r="B8" s="92" t="s">
        <v>29</v>
      </c>
      <c r="C8" s="93" t="s">
        <v>35</v>
      </c>
      <c r="L8" s="94" t="s">
        <v>41</v>
      </c>
      <c r="M8" s="94" t="s">
        <v>29</v>
      </c>
      <c r="N8" s="95" t="s">
        <v>71</v>
      </c>
    </row>
    <row r="9" spans="1:14" x14ac:dyDescent="0.4">
      <c r="A9" s="2" t="s">
        <v>28</v>
      </c>
      <c r="B9" s="92" t="s">
        <v>29</v>
      </c>
      <c r="C9" s="93" t="s">
        <v>151</v>
      </c>
      <c r="L9" s="94" t="s">
        <v>42</v>
      </c>
      <c r="M9" s="94" t="s">
        <v>29</v>
      </c>
      <c r="N9" s="95" t="s">
        <v>72</v>
      </c>
    </row>
    <row r="10" spans="1:14" x14ac:dyDescent="0.4">
      <c r="A10" s="2" t="s">
        <v>38</v>
      </c>
      <c r="B10" s="92" t="s">
        <v>29</v>
      </c>
      <c r="C10" s="2" t="s">
        <v>62</v>
      </c>
      <c r="D10" s="6" t="s">
        <v>91</v>
      </c>
      <c r="L10" s="94" t="s">
        <v>43</v>
      </c>
      <c r="M10" s="94" t="s">
        <v>29</v>
      </c>
      <c r="N10" s="95" t="s">
        <v>73</v>
      </c>
    </row>
    <row r="11" spans="1:14" x14ac:dyDescent="0.4">
      <c r="A11" s="2" t="s">
        <v>67</v>
      </c>
      <c r="B11" s="92" t="s">
        <v>29</v>
      </c>
      <c r="C11" s="24">
        <f>M16</f>
        <v>90.5</v>
      </c>
    </row>
    <row r="13" spans="1:14" s="2" customFormat="1" x14ac:dyDescent="0.4">
      <c r="A13" s="67" t="s">
        <v>124</v>
      </c>
      <c r="B13" s="68" t="s">
        <v>2</v>
      </c>
      <c r="C13" s="68" t="s">
        <v>3</v>
      </c>
      <c r="D13" s="70" t="s">
        <v>19</v>
      </c>
      <c r="E13" s="42"/>
      <c r="F13" s="65" t="s">
        <v>18</v>
      </c>
      <c r="G13" s="65"/>
      <c r="H13" s="68" t="s">
        <v>37</v>
      </c>
      <c r="I13" s="68"/>
      <c r="J13" s="68"/>
      <c r="K13" s="68"/>
      <c r="L13" s="68"/>
      <c r="M13" s="65" t="s">
        <v>17</v>
      </c>
      <c r="N13" s="66" t="s">
        <v>61</v>
      </c>
    </row>
    <row r="14" spans="1:14" s="2" customFormat="1" x14ac:dyDescent="0.4">
      <c r="A14" s="67"/>
      <c r="B14" s="68"/>
      <c r="C14" s="96"/>
      <c r="D14" s="71"/>
      <c r="E14" s="44"/>
      <c r="F14" s="43" t="s">
        <v>14</v>
      </c>
      <c r="G14" s="43" t="s">
        <v>15</v>
      </c>
      <c r="H14" s="41" t="s">
        <v>39</v>
      </c>
      <c r="I14" s="41" t="s">
        <v>40</v>
      </c>
      <c r="J14" s="41" t="s">
        <v>41</v>
      </c>
      <c r="K14" s="41" t="s">
        <v>42</v>
      </c>
      <c r="L14" s="41" t="s">
        <v>43</v>
      </c>
      <c r="M14" s="65"/>
      <c r="N14" s="66"/>
    </row>
    <row r="15" spans="1:14" s="2" customFormat="1" x14ac:dyDescent="0.4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4">
      <c r="A16" s="3"/>
      <c r="B16" s="39"/>
      <c r="C16" s="63" t="s">
        <v>65</v>
      </c>
      <c r="D16" s="39"/>
      <c r="E16" s="39"/>
      <c r="F16" s="61"/>
      <c r="G16" s="61"/>
      <c r="H16" s="39"/>
      <c r="I16" s="39"/>
      <c r="J16" s="39"/>
      <c r="K16" s="39"/>
      <c r="L16" s="39"/>
      <c r="M16" s="40">
        <f>M17+M21+M27+M43+M60+M65+M69</f>
        <v>90.5</v>
      </c>
      <c r="N16" s="35"/>
    </row>
    <row r="17" spans="1:14" x14ac:dyDescent="0.4">
      <c r="B17" s="48" t="s">
        <v>66</v>
      </c>
      <c r="C17" s="49" t="s">
        <v>8</v>
      </c>
      <c r="D17" s="51">
        <f>SUM(D18:D19)</f>
        <v>0.1</v>
      </c>
      <c r="E17" s="51"/>
      <c r="F17" s="54"/>
      <c r="G17" s="54"/>
      <c r="H17" s="97"/>
      <c r="I17" s="97"/>
      <c r="J17" s="97"/>
      <c r="K17" s="97"/>
      <c r="L17" s="97"/>
      <c r="M17" s="54">
        <f>SUM(M18:M20)</f>
        <v>6</v>
      </c>
      <c r="N17" s="98"/>
    </row>
    <row r="18" spans="1:14" x14ac:dyDescent="0.4">
      <c r="A18" s="99" t="s">
        <v>102</v>
      </c>
      <c r="B18" s="100">
        <v>1</v>
      </c>
      <c r="C18" s="101" t="str">
        <f>VLOOKUP($A18,PERTANYAAN!$A$18:$E$71,3,0)</f>
        <v>Pengalaman di dalam Daniswara Group</v>
      </c>
      <c r="D18" s="46">
        <f>VLOOKUP($A18,PERTANYAAN!$A$18:$E$71,5,0)</f>
        <v>0.06</v>
      </c>
      <c r="E18" s="17"/>
      <c r="F18" s="16" t="s">
        <v>16</v>
      </c>
      <c r="G18" s="16"/>
      <c r="H18" s="102"/>
      <c r="I18" s="102"/>
      <c r="J18" s="102"/>
      <c r="K18" s="102"/>
      <c r="L18" s="102"/>
      <c r="M18" s="16">
        <f>IF(F18="V",D18*100,0)</f>
        <v>6</v>
      </c>
      <c r="N18" s="103"/>
    </row>
    <row r="19" spans="1:14" x14ac:dyDescent="0.4">
      <c r="A19" s="99" t="s">
        <v>103</v>
      </c>
      <c r="B19" s="100">
        <f>B18+1</f>
        <v>2</v>
      </c>
      <c r="C19" s="101" t="str">
        <f>VLOOKUP($A19,PERTANYAAN!$A$18:$E$71,3,0)</f>
        <v>Pengalaman di luar Daniswara Group</v>
      </c>
      <c r="D19" s="46">
        <f>VLOOKUP($A19,PERTANYAAN!$A$18:$E$71,5,0)</f>
        <v>0.04</v>
      </c>
      <c r="E19" s="17"/>
      <c r="F19" s="16"/>
      <c r="G19" s="16"/>
      <c r="H19" s="102"/>
      <c r="I19" s="102"/>
      <c r="J19" s="102"/>
      <c r="K19" s="102"/>
      <c r="L19" s="102"/>
      <c r="M19" s="16">
        <f>IF(F19="V",D19*100,0)</f>
        <v>0</v>
      </c>
      <c r="N19" s="103"/>
    </row>
    <row r="20" spans="1:14" x14ac:dyDescent="0.4">
      <c r="A20" s="92"/>
      <c r="B20" s="104"/>
      <c r="C20" s="103"/>
      <c r="D20" s="17"/>
      <c r="E20" s="17"/>
      <c r="F20" s="16"/>
      <c r="G20" s="16"/>
      <c r="H20" s="102"/>
      <c r="I20" s="102"/>
      <c r="J20" s="102"/>
      <c r="K20" s="102"/>
      <c r="L20" s="102"/>
      <c r="M20" s="16"/>
      <c r="N20" s="103"/>
    </row>
    <row r="21" spans="1:14" x14ac:dyDescent="0.4">
      <c r="A21" s="92"/>
      <c r="B21" s="48" t="s">
        <v>42</v>
      </c>
      <c r="C21" s="49" t="s">
        <v>9</v>
      </c>
      <c r="D21" s="51">
        <f>SUM(D22:D25)</f>
        <v>0.05</v>
      </c>
      <c r="E21" s="51"/>
      <c r="F21" s="54"/>
      <c r="G21" s="54"/>
      <c r="H21" s="97"/>
      <c r="I21" s="97"/>
      <c r="J21" s="97"/>
      <c r="K21" s="97"/>
      <c r="L21" s="97"/>
      <c r="M21" s="54">
        <f>SUM(M22:M25)</f>
        <v>4</v>
      </c>
      <c r="N21" s="98"/>
    </row>
    <row r="22" spans="1:14" x14ac:dyDescent="0.4">
      <c r="A22" s="99" t="s">
        <v>104</v>
      </c>
      <c r="B22" s="100">
        <v>1</v>
      </c>
      <c r="C22" s="101" t="str">
        <f>VLOOKUP($A22,PERTANYAAN!$A$18:$E$71,3,0)</f>
        <v>Identitas (KTP &amp; KK)</v>
      </c>
      <c r="D22" s="46">
        <f>VLOOKUP($A22,PERTANYAAN!$A$18:$E$71,5,0)</f>
        <v>0.01</v>
      </c>
      <c r="E22" s="17"/>
      <c r="F22" s="16" t="s">
        <v>16</v>
      </c>
      <c r="G22" s="16"/>
      <c r="H22" s="102"/>
      <c r="I22" s="102"/>
      <c r="J22" s="102"/>
      <c r="K22" s="102"/>
      <c r="L22" s="102"/>
      <c r="M22" s="16">
        <f>IF(F22="V",D22*100,0)</f>
        <v>1</v>
      </c>
      <c r="N22" s="103"/>
    </row>
    <row r="23" spans="1:14" x14ac:dyDescent="0.4">
      <c r="A23" s="99" t="s">
        <v>105</v>
      </c>
      <c r="B23" s="100">
        <f>B22+1</f>
        <v>2</v>
      </c>
      <c r="C23" s="101" t="str">
        <f>VLOOKUP($A23,PERTANYAAN!$A$18:$E$71,3,0)</f>
        <v>SIM A (utk jabatan di Divisi Operasi)</v>
      </c>
      <c r="D23" s="46">
        <f>VLOOKUP($A23,PERTANYAAN!$A$18:$E$71,5,0)</f>
        <v>0.02</v>
      </c>
      <c r="E23" s="17"/>
      <c r="F23" s="16" t="s">
        <v>16</v>
      </c>
      <c r="G23" s="16"/>
      <c r="H23" s="102"/>
      <c r="I23" s="102"/>
      <c r="J23" s="102"/>
      <c r="K23" s="102"/>
      <c r="L23" s="102"/>
      <c r="M23" s="16">
        <f>IF(F23="V",D23*100,0)</f>
        <v>2</v>
      </c>
      <c r="N23" s="103" t="s">
        <v>157</v>
      </c>
    </row>
    <row r="24" spans="1:14" x14ac:dyDescent="0.4">
      <c r="A24" s="99" t="s">
        <v>106</v>
      </c>
      <c r="B24" s="100">
        <f t="shared" ref="B24:B25" si="0">B23+1</f>
        <v>3</v>
      </c>
      <c r="C24" s="101" t="str">
        <f>VLOOKUP($A24,PERTANYAAN!$A$18:$E$71,3,0)</f>
        <v>SIM C</v>
      </c>
      <c r="D24" s="46">
        <f>VLOOKUP($A24,PERTANYAAN!$A$18:$E$71,5,0)</f>
        <v>0.01</v>
      </c>
      <c r="E24" s="17"/>
      <c r="F24" s="16" t="s">
        <v>16</v>
      </c>
      <c r="G24" s="16"/>
      <c r="H24" s="102"/>
      <c r="I24" s="102"/>
      <c r="J24" s="102"/>
      <c r="K24" s="102"/>
      <c r="L24" s="102"/>
      <c r="M24" s="16">
        <f>IF(F24="V",D24*100,0)</f>
        <v>1</v>
      </c>
      <c r="N24" s="103" t="s">
        <v>157</v>
      </c>
    </row>
    <row r="25" spans="1:14" x14ac:dyDescent="0.4">
      <c r="A25" s="99" t="s">
        <v>107</v>
      </c>
      <c r="B25" s="100">
        <f t="shared" si="0"/>
        <v>4</v>
      </c>
      <c r="C25" s="101" t="str">
        <f>VLOOKUP($A25,PERTANYAAN!$A$18:$E$71,3,0)</f>
        <v>NPWP</v>
      </c>
      <c r="D25" s="46">
        <f>VLOOKUP($A25,PERTANYAAN!$A$18:$E$71,5,0)</f>
        <v>0.01</v>
      </c>
      <c r="E25" s="17"/>
      <c r="F25" s="16"/>
      <c r="G25" s="16"/>
      <c r="H25" s="102"/>
      <c r="I25" s="102"/>
      <c r="J25" s="102"/>
      <c r="K25" s="102"/>
      <c r="L25" s="102"/>
      <c r="M25" s="16">
        <f>IF(F25="V",D25*100,0)</f>
        <v>0</v>
      </c>
      <c r="N25" s="103"/>
    </row>
    <row r="26" spans="1:14" x14ac:dyDescent="0.4">
      <c r="A26" s="92"/>
      <c r="B26" s="104"/>
      <c r="C26" s="103"/>
      <c r="D26" s="17"/>
      <c r="E26" s="17"/>
      <c r="F26" s="16"/>
      <c r="G26" s="16"/>
      <c r="H26" s="102"/>
      <c r="I26" s="102"/>
      <c r="J26" s="102"/>
      <c r="K26" s="102"/>
      <c r="L26" s="102"/>
      <c r="M26" s="16"/>
      <c r="N26" s="103"/>
    </row>
    <row r="27" spans="1:14" x14ac:dyDescent="0.4">
      <c r="A27" s="92"/>
      <c r="B27" s="48" t="s">
        <v>97</v>
      </c>
      <c r="C27" s="49" t="s">
        <v>21</v>
      </c>
      <c r="D27" s="51">
        <f>D28</f>
        <v>0.35000000000000003</v>
      </c>
      <c r="E27" s="57"/>
      <c r="F27" s="60"/>
      <c r="G27" s="60"/>
      <c r="H27" s="97"/>
      <c r="I27" s="97"/>
      <c r="J27" s="97"/>
      <c r="K27" s="97"/>
      <c r="L27" s="97"/>
      <c r="M27" s="54">
        <f>M28</f>
        <v>33</v>
      </c>
      <c r="N27" s="98"/>
    </row>
    <row r="28" spans="1:14" x14ac:dyDescent="0.4">
      <c r="A28" s="99" t="s">
        <v>108</v>
      </c>
      <c r="B28" s="100">
        <v>1</v>
      </c>
      <c r="C28" s="101" t="str">
        <f>VLOOKUP($A28,PERTANYAAN!$A$18:$E$71,3,0)</f>
        <v>Operasi / Logistik</v>
      </c>
      <c r="D28" s="46">
        <f>VLOOKUP($A28,PERTANYAAN!$A$18:$E$71,5,0)</f>
        <v>0.35000000000000003</v>
      </c>
      <c r="E28" s="17"/>
      <c r="F28" s="16"/>
      <c r="G28" s="16"/>
      <c r="H28" s="102"/>
      <c r="I28" s="102"/>
      <c r="J28" s="102"/>
      <c r="K28" s="102"/>
      <c r="L28" s="102"/>
      <c r="M28" s="16">
        <f>SUM(M29:M33)</f>
        <v>33</v>
      </c>
      <c r="N28" s="103"/>
    </row>
    <row r="29" spans="1:14" x14ac:dyDescent="0.4">
      <c r="A29" s="99" t="s">
        <v>109</v>
      </c>
      <c r="B29" s="100" t="s">
        <v>6</v>
      </c>
      <c r="C29" s="101" t="str">
        <f>VLOOKUP($A29,PERTANYAAN!$A$18:$E$71,3,0)</f>
        <v>Skill Mengemudi</v>
      </c>
      <c r="D29" s="46">
        <f>VLOOKUP($A29,PERTANYAAN!$A$18:$E$71,5,0)</f>
        <v>0.15</v>
      </c>
      <c r="E29" s="17"/>
      <c r="F29" s="16"/>
      <c r="G29" s="16"/>
      <c r="H29" s="102"/>
      <c r="I29" s="102"/>
      <c r="J29" s="102"/>
      <c r="K29" s="102"/>
      <c r="L29" s="102" t="s">
        <v>16</v>
      </c>
      <c r="M29" s="16">
        <f>IF(H29="V",$D29*H$15,IF(I29="V",$D29*I$15,IF(J29="V",$D29*J$15,IF(K29="V",$D29*K$15,IF(L29="V",$D29*L$15,0)))))*100</f>
        <v>15</v>
      </c>
      <c r="N29" s="103"/>
    </row>
    <row r="30" spans="1:14" x14ac:dyDescent="0.4">
      <c r="A30" s="99" t="s">
        <v>110</v>
      </c>
      <c r="B30" s="100" t="s">
        <v>6</v>
      </c>
      <c r="C30" s="101" t="str">
        <f>VLOOKUP($A30,PERTANYAAN!$A$18:$E$71,3,0)</f>
        <v>Flow Administrasi Logistik</v>
      </c>
      <c r="D30" s="46">
        <f>VLOOKUP($A30,PERTANYAAN!$A$18:$E$71,5,0)</f>
        <v>0.1</v>
      </c>
      <c r="E30" s="17"/>
      <c r="F30" s="16"/>
      <c r="G30" s="16"/>
      <c r="H30" s="102"/>
      <c r="I30" s="102"/>
      <c r="J30" s="102"/>
      <c r="K30" s="102" t="s">
        <v>16</v>
      </c>
      <c r="L30" s="102"/>
      <c r="M30" s="16">
        <f t="shared" ref="M30:M32" si="1">IF(H30="V",$D30*H$15,IF(I30="V",$D30*I$15,IF(J30="V",$D30*J$15,IF(K30="V",$D30*K$15,IF(L30="V",$D30*L$15,0)))))*100</f>
        <v>8.0000000000000018</v>
      </c>
      <c r="N30" s="103"/>
    </row>
    <row r="31" spans="1:14" x14ac:dyDescent="0.4">
      <c r="A31" s="99" t="s">
        <v>111</v>
      </c>
      <c r="B31" s="100" t="s">
        <v>6</v>
      </c>
      <c r="C31" s="101" t="str">
        <f>VLOOKUP($A31,PERTANYAAN!$A$18:$E$71,3,0)</f>
        <v>Pengetahuan terkait logistik</v>
      </c>
      <c r="D31" s="46">
        <f>VLOOKUP($A31,PERTANYAAN!$A$18:$E$71,5,0)</f>
        <v>2.5000000000000001E-2</v>
      </c>
      <c r="E31" s="17"/>
      <c r="F31" s="16"/>
      <c r="G31" s="16"/>
      <c r="H31" s="102"/>
      <c r="I31" s="102"/>
      <c r="J31" s="102"/>
      <c r="K31" s="102"/>
      <c r="L31" s="102" t="s">
        <v>16</v>
      </c>
      <c r="M31" s="16">
        <f t="shared" si="1"/>
        <v>2.5</v>
      </c>
      <c r="N31" s="103"/>
    </row>
    <row r="32" spans="1:14" x14ac:dyDescent="0.4">
      <c r="A32" s="99" t="s">
        <v>112</v>
      </c>
      <c r="B32" s="100" t="s">
        <v>6</v>
      </c>
      <c r="C32" s="101" t="str">
        <f>VLOOKUP($A32,PERTANYAAN!$A$18:$E$71,3,0)</f>
        <v>Pengalaman di Bongkar Muat</v>
      </c>
      <c r="D32" s="46">
        <f>VLOOKUP($A32,PERTANYAAN!$A$18:$E$71,5,0)</f>
        <v>7.4999999999999997E-2</v>
      </c>
      <c r="E32" s="17"/>
      <c r="F32" s="16"/>
      <c r="G32" s="16"/>
      <c r="H32" s="102"/>
      <c r="I32" s="102"/>
      <c r="J32" s="102"/>
      <c r="K32" s="102"/>
      <c r="L32" s="102" t="s">
        <v>16</v>
      </c>
      <c r="M32" s="16">
        <f t="shared" si="1"/>
        <v>7.5</v>
      </c>
      <c r="N32" s="103"/>
    </row>
    <row r="33" spans="1:14" x14ac:dyDescent="0.4">
      <c r="A33" s="92"/>
      <c r="B33" s="100"/>
      <c r="C33" s="103"/>
      <c r="D33" s="17"/>
      <c r="E33" s="17"/>
      <c r="F33" s="16"/>
      <c r="G33" s="16"/>
      <c r="H33" s="102"/>
      <c r="I33" s="102"/>
      <c r="J33" s="102"/>
      <c r="K33" s="102"/>
      <c r="L33" s="102"/>
      <c r="M33" s="16"/>
      <c r="N33" s="103"/>
    </row>
    <row r="34" spans="1:14" hidden="1" outlineLevel="1" x14ac:dyDescent="0.4">
      <c r="A34" s="92"/>
      <c r="B34" s="100">
        <f>B28+1</f>
        <v>2</v>
      </c>
      <c r="C34" s="103" t="s">
        <v>22</v>
      </c>
      <c r="D34" s="17">
        <f>SUM(D35:D37)</f>
        <v>0.35</v>
      </c>
      <c r="E34" s="17"/>
      <c r="F34" s="16"/>
      <c r="G34" s="16"/>
      <c r="H34" s="102"/>
      <c r="I34" s="102"/>
      <c r="J34" s="102"/>
      <c r="K34" s="102"/>
      <c r="L34" s="102"/>
      <c r="M34" s="16"/>
      <c r="N34" s="103"/>
    </row>
    <row r="35" spans="1:14" hidden="1" outlineLevel="1" x14ac:dyDescent="0.4">
      <c r="A35" s="92"/>
      <c r="B35" s="100" t="s">
        <v>6</v>
      </c>
      <c r="C35" s="103" t="s">
        <v>44</v>
      </c>
      <c r="D35" s="17">
        <v>0.15</v>
      </c>
      <c r="E35" s="17"/>
      <c r="F35" s="16"/>
      <c r="G35" s="16"/>
      <c r="H35" s="102"/>
      <c r="I35" s="102"/>
      <c r="J35" s="102"/>
      <c r="K35" s="102"/>
      <c r="L35" s="102"/>
      <c r="M35" s="16"/>
      <c r="N35" s="103"/>
    </row>
    <row r="36" spans="1:14" hidden="1" outlineLevel="1" x14ac:dyDescent="0.4">
      <c r="A36" s="92"/>
      <c r="B36" s="100" t="s">
        <v>6</v>
      </c>
      <c r="C36" s="103" t="s">
        <v>50</v>
      </c>
      <c r="D36" s="17">
        <v>0.2</v>
      </c>
      <c r="E36" s="17"/>
      <c r="F36" s="16"/>
      <c r="G36" s="16"/>
      <c r="H36" s="102"/>
      <c r="I36" s="102"/>
      <c r="J36" s="102"/>
      <c r="K36" s="102"/>
      <c r="L36" s="102"/>
      <c r="M36" s="16"/>
      <c r="N36" s="103"/>
    </row>
    <row r="37" spans="1:14" hidden="1" outlineLevel="1" x14ac:dyDescent="0.4">
      <c r="A37" s="92"/>
      <c r="B37" s="100"/>
      <c r="C37" s="103"/>
      <c r="D37" s="17"/>
      <c r="E37" s="17"/>
      <c r="F37" s="16"/>
      <c r="G37" s="16"/>
      <c r="H37" s="102"/>
      <c r="I37" s="102"/>
      <c r="J37" s="102"/>
      <c r="K37" s="102"/>
      <c r="L37" s="102"/>
      <c r="M37" s="16"/>
      <c r="N37" s="103"/>
    </row>
    <row r="38" spans="1:14" hidden="1" outlineLevel="1" x14ac:dyDescent="0.4">
      <c r="A38" s="92"/>
      <c r="B38" s="104">
        <v>3</v>
      </c>
      <c r="C38" s="103" t="s">
        <v>23</v>
      </c>
      <c r="D38" s="17"/>
      <c r="E38" s="17"/>
      <c r="F38" s="16"/>
      <c r="G38" s="16"/>
      <c r="H38" s="102"/>
      <c r="I38" s="102"/>
      <c r="J38" s="102"/>
      <c r="K38" s="102"/>
      <c r="L38" s="102"/>
      <c r="M38" s="16"/>
      <c r="N38" s="103"/>
    </row>
    <row r="39" spans="1:14" hidden="1" outlineLevel="1" x14ac:dyDescent="0.4">
      <c r="A39" s="92"/>
      <c r="B39" s="100" t="s">
        <v>6</v>
      </c>
      <c r="C39" s="103" t="s">
        <v>52</v>
      </c>
      <c r="D39" s="17"/>
      <c r="E39" s="17"/>
      <c r="F39" s="16"/>
      <c r="G39" s="16"/>
      <c r="H39" s="102"/>
      <c r="I39" s="102"/>
      <c r="J39" s="102"/>
      <c r="K39" s="102"/>
      <c r="L39" s="102"/>
      <c r="M39" s="16"/>
      <c r="N39" s="103"/>
    </row>
    <row r="40" spans="1:14" hidden="1" outlineLevel="1" x14ac:dyDescent="0.4">
      <c r="A40" s="92"/>
      <c r="B40" s="100" t="s">
        <v>6</v>
      </c>
      <c r="C40" s="103" t="s">
        <v>53</v>
      </c>
      <c r="D40" s="17"/>
      <c r="E40" s="17"/>
      <c r="F40" s="16"/>
      <c r="G40" s="16"/>
      <c r="H40" s="102"/>
      <c r="I40" s="102"/>
      <c r="J40" s="102"/>
      <c r="K40" s="102"/>
      <c r="L40" s="102"/>
      <c r="M40" s="16"/>
      <c r="N40" s="103"/>
    </row>
    <row r="41" spans="1:14" hidden="1" outlineLevel="1" x14ac:dyDescent="0.4">
      <c r="A41" s="92"/>
      <c r="B41" s="100" t="s">
        <v>6</v>
      </c>
      <c r="C41" s="103"/>
      <c r="D41" s="17"/>
      <c r="E41" s="17"/>
      <c r="F41" s="16"/>
      <c r="G41" s="16"/>
      <c r="H41" s="102"/>
      <c r="I41" s="102"/>
      <c r="J41" s="102"/>
      <c r="K41" s="102"/>
      <c r="L41" s="102"/>
      <c r="M41" s="16"/>
      <c r="N41" s="103"/>
    </row>
    <row r="42" spans="1:14" hidden="1" outlineLevel="1" x14ac:dyDescent="0.4">
      <c r="A42" s="92"/>
      <c r="B42" s="104"/>
      <c r="C42" s="103"/>
      <c r="D42" s="17"/>
      <c r="E42" s="17"/>
      <c r="F42" s="16"/>
      <c r="G42" s="16"/>
      <c r="H42" s="102"/>
      <c r="I42" s="102"/>
      <c r="J42" s="102"/>
      <c r="K42" s="102"/>
      <c r="L42" s="102"/>
      <c r="M42" s="16"/>
      <c r="N42" s="103"/>
    </row>
    <row r="43" spans="1:14" s="2" customFormat="1" collapsed="1" x14ac:dyDescent="0.4">
      <c r="A43" s="3"/>
      <c r="B43" s="48" t="s">
        <v>98</v>
      </c>
      <c r="C43" s="49" t="s">
        <v>24</v>
      </c>
      <c r="D43" s="51">
        <f>D44</f>
        <v>0.25</v>
      </c>
      <c r="E43" s="51"/>
      <c r="F43" s="54"/>
      <c r="G43" s="54"/>
      <c r="H43" s="59"/>
      <c r="I43" s="59"/>
      <c r="J43" s="59"/>
      <c r="K43" s="59"/>
      <c r="L43" s="59"/>
      <c r="M43" s="54">
        <f>M44</f>
        <v>24</v>
      </c>
      <c r="N43" s="49"/>
    </row>
    <row r="44" spans="1:14" x14ac:dyDescent="0.4">
      <c r="A44" s="92" t="s">
        <v>113</v>
      </c>
      <c r="B44" s="104">
        <v>1</v>
      </c>
      <c r="C44" s="101" t="str">
        <f>VLOOKUP($A44,PERTANYAAN!$A$18:$E$71,3,0)</f>
        <v>Staff</v>
      </c>
      <c r="D44" s="46">
        <f>VLOOKUP($A44,PERTANYAAN!$A$18:$E$71,5,0)</f>
        <v>0.25</v>
      </c>
      <c r="E44" s="17"/>
      <c r="F44" s="16"/>
      <c r="G44" s="16"/>
      <c r="H44" s="102"/>
      <c r="I44" s="102"/>
      <c r="J44" s="102"/>
      <c r="K44" s="102"/>
      <c r="L44" s="102"/>
      <c r="M44" s="16">
        <f>SUM(M45:M48)</f>
        <v>24</v>
      </c>
      <c r="N44" s="103"/>
    </row>
    <row r="45" spans="1:14" x14ac:dyDescent="0.4">
      <c r="A45" s="99" t="s">
        <v>114</v>
      </c>
      <c r="B45" s="100" t="s">
        <v>6</v>
      </c>
      <c r="C45" s="101" t="str">
        <f>VLOOKUP($A45,PERTANYAAN!$A$18:$E$71,3,0)</f>
        <v>Kepemimpinan</v>
      </c>
      <c r="D45" s="46">
        <f>VLOOKUP($A45,PERTANYAAN!$A$18:$E$71,5,0)</f>
        <v>2.5000000000000001E-2</v>
      </c>
      <c r="E45" s="17"/>
      <c r="F45" s="16"/>
      <c r="G45" s="16"/>
      <c r="H45" s="102"/>
      <c r="I45" s="102"/>
      <c r="J45" s="102"/>
      <c r="K45" s="102"/>
      <c r="L45" s="102" t="s">
        <v>16</v>
      </c>
      <c r="M45" s="16">
        <f>IF(H45="V",$D45*H$15,IF(I45="V",$D45*I$15,IF(J45="V",$D45*J$15,IF(K45="V",$D45*K$15,IF(L45="V",$D45*L$15,0)))))*100</f>
        <v>2.5</v>
      </c>
      <c r="N45" s="103"/>
    </row>
    <row r="46" spans="1:14" x14ac:dyDescent="0.4">
      <c r="A46" s="99" t="s">
        <v>115</v>
      </c>
      <c r="B46" s="100" t="s">
        <v>6</v>
      </c>
      <c r="C46" s="101" t="str">
        <f>VLOOKUP($A46,PERTANYAAN!$A$18:$E$71,3,0)</f>
        <v>Komunikasi</v>
      </c>
      <c r="D46" s="46">
        <f>VLOOKUP($A46,PERTANYAAN!$A$18:$E$71,5,0)</f>
        <v>0.1</v>
      </c>
      <c r="E46" s="17"/>
      <c r="F46" s="16"/>
      <c r="G46" s="16"/>
      <c r="H46" s="102"/>
      <c r="I46" s="102"/>
      <c r="J46" s="102"/>
      <c r="K46" s="102"/>
      <c r="L46" s="102" t="s">
        <v>16</v>
      </c>
      <c r="M46" s="16">
        <f>IF(H46="V",$D46*H$15,IF(I46="V",$D46*I$15,IF(J46="V",$D46*J$15,IF(K46="V",$D46*K$15,IF(L46="V",$D46*L$15,0)))))*100</f>
        <v>10</v>
      </c>
      <c r="N46" s="103"/>
    </row>
    <row r="47" spans="1:14" x14ac:dyDescent="0.4">
      <c r="A47" s="99" t="s">
        <v>116</v>
      </c>
      <c r="B47" s="100" t="s">
        <v>6</v>
      </c>
      <c r="C47" s="101" t="str">
        <f>VLOOKUP($A47,PERTANYAAN!$A$18:$E$71,3,0)</f>
        <v>Patuh pada Peraturan / Commitment</v>
      </c>
      <c r="D47" s="46">
        <f>VLOOKUP($A47,PERTANYAAN!$A$18:$E$71,5,0)</f>
        <v>0.05</v>
      </c>
      <c r="E47" s="17"/>
      <c r="F47" s="16"/>
      <c r="G47" s="16"/>
      <c r="H47" s="102"/>
      <c r="I47" s="102"/>
      <c r="J47" s="102"/>
      <c r="K47" s="102" t="s">
        <v>16</v>
      </c>
      <c r="L47" s="102"/>
      <c r="M47" s="16">
        <f>IF(H47="V",$D47*H$15,IF(I47="V",$D47*I$15,IF(J47="V",$D47*J$15,IF(K47="V",$D47*K$15,IF(L47="V",$D47*L$15,0)))))*100</f>
        <v>4.0000000000000009</v>
      </c>
      <c r="N47" s="103"/>
    </row>
    <row r="48" spans="1:14" x14ac:dyDescent="0.4">
      <c r="A48" s="99" t="s">
        <v>117</v>
      </c>
      <c r="B48" s="100" t="s">
        <v>6</v>
      </c>
      <c r="C48" s="101" t="str">
        <f>VLOOKUP($A48,PERTANYAAN!$A$18:$E$71,3,0)</f>
        <v>Determinasi thd tekanan</v>
      </c>
      <c r="D48" s="46">
        <f>VLOOKUP($A48,PERTANYAAN!$A$18:$E$71,5,0)</f>
        <v>7.4999999999999997E-2</v>
      </c>
      <c r="E48" s="17"/>
      <c r="F48" s="16"/>
      <c r="G48" s="16"/>
      <c r="H48" s="102"/>
      <c r="I48" s="102"/>
      <c r="J48" s="102"/>
      <c r="K48" s="102"/>
      <c r="L48" s="102" t="s">
        <v>16</v>
      </c>
      <c r="M48" s="16">
        <f>IF(H48="V",$D48*H$15,IF(I48="V",$D48*I$15,IF(J48="V",$D48*J$15,IF(K48="V",$D48*K$15,IF(L48="V",$D48*L$15,0)))))*100</f>
        <v>7.5</v>
      </c>
      <c r="N48" s="103"/>
    </row>
    <row r="49" spans="1:14" x14ac:dyDescent="0.4">
      <c r="A49" s="92"/>
      <c r="B49" s="100"/>
      <c r="C49" s="103"/>
      <c r="D49" s="17"/>
      <c r="E49" s="17"/>
      <c r="F49" s="16"/>
      <c r="G49" s="16"/>
      <c r="H49" s="102"/>
      <c r="I49" s="102"/>
      <c r="J49" s="102"/>
      <c r="K49" s="102"/>
      <c r="L49" s="102"/>
      <c r="M49" s="16"/>
      <c r="N49" s="103"/>
    </row>
    <row r="50" spans="1:14" hidden="1" outlineLevel="1" x14ac:dyDescent="0.4">
      <c r="A50" s="92"/>
      <c r="B50" s="104">
        <v>2</v>
      </c>
      <c r="C50" s="103" t="s">
        <v>26</v>
      </c>
      <c r="D50" s="17"/>
      <c r="E50" s="17"/>
      <c r="F50" s="16"/>
      <c r="G50" s="16"/>
      <c r="H50" s="102"/>
      <c r="I50" s="102"/>
      <c r="J50" s="102"/>
      <c r="K50" s="102"/>
      <c r="L50" s="102"/>
      <c r="M50" s="16"/>
      <c r="N50" s="103"/>
    </row>
    <row r="51" spans="1:14" hidden="1" outlineLevel="1" x14ac:dyDescent="0.4">
      <c r="A51" s="92"/>
      <c r="B51" s="100" t="s">
        <v>6</v>
      </c>
      <c r="C51" s="103" t="s">
        <v>54</v>
      </c>
      <c r="D51" s="17"/>
      <c r="E51" s="17"/>
      <c r="F51" s="16"/>
      <c r="G51" s="16"/>
      <c r="H51" s="102"/>
      <c r="I51" s="102"/>
      <c r="J51" s="102"/>
      <c r="K51" s="102"/>
      <c r="L51" s="102"/>
      <c r="M51" s="16"/>
      <c r="N51" s="103"/>
    </row>
    <row r="52" spans="1:14" hidden="1" outlineLevel="1" x14ac:dyDescent="0.4">
      <c r="A52" s="92"/>
      <c r="B52" s="100" t="s">
        <v>6</v>
      </c>
      <c r="C52" s="103" t="s">
        <v>55</v>
      </c>
      <c r="D52" s="17"/>
      <c r="E52" s="17"/>
      <c r="F52" s="16"/>
      <c r="G52" s="16"/>
      <c r="H52" s="102"/>
      <c r="I52" s="102"/>
      <c r="J52" s="102"/>
      <c r="K52" s="102"/>
      <c r="L52" s="102"/>
      <c r="M52" s="16"/>
      <c r="N52" s="103"/>
    </row>
    <row r="53" spans="1:14" hidden="1" outlineLevel="1" x14ac:dyDescent="0.4">
      <c r="A53" s="92"/>
      <c r="B53" s="100" t="s">
        <v>6</v>
      </c>
      <c r="C53" s="103" t="s">
        <v>56</v>
      </c>
      <c r="D53" s="17"/>
      <c r="E53" s="17"/>
      <c r="F53" s="16"/>
      <c r="G53" s="16"/>
      <c r="H53" s="102"/>
      <c r="I53" s="102"/>
      <c r="J53" s="102"/>
      <c r="K53" s="102"/>
      <c r="L53" s="102"/>
      <c r="M53" s="16"/>
      <c r="N53" s="103"/>
    </row>
    <row r="54" spans="1:14" hidden="1" outlineLevel="1" x14ac:dyDescent="0.4">
      <c r="A54" s="92"/>
      <c r="B54" s="100"/>
      <c r="C54" s="103"/>
      <c r="D54" s="17"/>
      <c r="E54" s="17"/>
      <c r="F54" s="16"/>
      <c r="G54" s="16"/>
      <c r="H54" s="102"/>
      <c r="I54" s="102"/>
      <c r="J54" s="102"/>
      <c r="K54" s="102"/>
      <c r="L54" s="102"/>
      <c r="M54" s="16"/>
      <c r="N54" s="103"/>
    </row>
    <row r="55" spans="1:14" hidden="1" outlineLevel="1" x14ac:dyDescent="0.4">
      <c r="A55" s="92"/>
      <c r="B55" s="104">
        <v>3</v>
      </c>
      <c r="C55" s="103" t="s">
        <v>27</v>
      </c>
      <c r="D55" s="17"/>
      <c r="E55" s="17"/>
      <c r="F55" s="16"/>
      <c r="G55" s="16"/>
      <c r="H55" s="102"/>
      <c r="I55" s="102"/>
      <c r="J55" s="102"/>
      <c r="K55" s="102"/>
      <c r="L55" s="102"/>
      <c r="M55" s="16"/>
      <c r="N55" s="103"/>
    </row>
    <row r="56" spans="1:14" hidden="1" outlineLevel="1" x14ac:dyDescent="0.4">
      <c r="A56" s="92"/>
      <c r="B56" s="100" t="s">
        <v>6</v>
      </c>
      <c r="C56" s="103" t="s">
        <v>54</v>
      </c>
      <c r="D56" s="17"/>
      <c r="E56" s="17"/>
      <c r="F56" s="16"/>
      <c r="G56" s="16"/>
      <c r="H56" s="102"/>
      <c r="I56" s="102"/>
      <c r="J56" s="102"/>
      <c r="K56" s="102"/>
      <c r="L56" s="102"/>
      <c r="M56" s="16"/>
      <c r="N56" s="103"/>
    </row>
    <row r="57" spans="1:14" hidden="1" outlineLevel="1" x14ac:dyDescent="0.4">
      <c r="A57" s="92"/>
      <c r="B57" s="100" t="s">
        <v>6</v>
      </c>
      <c r="C57" s="103" t="s">
        <v>56</v>
      </c>
      <c r="D57" s="17"/>
      <c r="E57" s="17"/>
      <c r="F57" s="16"/>
      <c r="G57" s="16"/>
      <c r="H57" s="102"/>
      <c r="I57" s="102"/>
      <c r="J57" s="102"/>
      <c r="K57" s="102"/>
      <c r="L57" s="102"/>
      <c r="M57" s="16"/>
      <c r="N57" s="103"/>
    </row>
    <row r="58" spans="1:14" hidden="1" outlineLevel="1" x14ac:dyDescent="0.4">
      <c r="A58" s="92"/>
      <c r="B58" s="100" t="s">
        <v>6</v>
      </c>
      <c r="C58" s="103" t="s">
        <v>57</v>
      </c>
      <c r="D58" s="17"/>
      <c r="E58" s="17"/>
      <c r="F58" s="16"/>
      <c r="G58" s="16"/>
      <c r="H58" s="102"/>
      <c r="I58" s="102"/>
      <c r="J58" s="102"/>
      <c r="K58" s="102"/>
      <c r="L58" s="102"/>
      <c r="M58" s="16"/>
      <c r="N58" s="103"/>
    </row>
    <row r="59" spans="1:14" hidden="1" outlineLevel="1" x14ac:dyDescent="0.4">
      <c r="A59" s="92"/>
      <c r="B59" s="104"/>
      <c r="C59" s="103"/>
      <c r="D59" s="17"/>
      <c r="E59" s="17"/>
      <c r="F59" s="16"/>
      <c r="G59" s="16"/>
      <c r="H59" s="102"/>
      <c r="I59" s="102"/>
      <c r="J59" s="102"/>
      <c r="K59" s="102"/>
      <c r="L59" s="102"/>
      <c r="M59" s="16"/>
      <c r="N59" s="103"/>
    </row>
    <row r="60" spans="1:14" s="2" customFormat="1" collapsed="1" x14ac:dyDescent="0.4">
      <c r="A60" s="3"/>
      <c r="B60" s="48" t="s">
        <v>99</v>
      </c>
      <c r="C60" s="49" t="s">
        <v>46</v>
      </c>
      <c r="D60" s="51">
        <f>SUM(D61:D64)</f>
        <v>0.15</v>
      </c>
      <c r="E60" s="51"/>
      <c r="F60" s="54"/>
      <c r="G60" s="54"/>
      <c r="H60" s="59"/>
      <c r="I60" s="59"/>
      <c r="J60" s="59"/>
      <c r="K60" s="59"/>
      <c r="L60" s="59"/>
      <c r="M60" s="54">
        <f>SUM(M61:M64)</f>
        <v>13.5</v>
      </c>
      <c r="N60" s="49"/>
    </row>
    <row r="61" spans="1:14" x14ac:dyDescent="0.4">
      <c r="A61" s="99" t="s">
        <v>118</v>
      </c>
      <c r="B61" s="100" t="s">
        <v>6</v>
      </c>
      <c r="C61" s="101" t="str">
        <f>VLOOKUP($A61,PERTANYAAN!$A$18:$E$71,3,0)</f>
        <v>Antusiasme / Keinginan bergabung</v>
      </c>
      <c r="D61" s="46">
        <f>VLOOKUP($A61,PERTANYAAN!$A$18:$E$71,5,0)</f>
        <v>7.4999999999999997E-2</v>
      </c>
      <c r="E61" s="17"/>
      <c r="F61" s="16"/>
      <c r="G61" s="16"/>
      <c r="H61" s="102"/>
      <c r="I61" s="102"/>
      <c r="J61" s="102"/>
      <c r="K61" s="102" t="s">
        <v>16</v>
      </c>
      <c r="L61" s="102"/>
      <c r="M61" s="16">
        <f t="shared" ref="M61:M63" si="2">IF(H61="V",$D61*H$15,IF(I61="V",$D61*I$15,IF(J61="V",$D61*J$15,IF(K61="V",$D61*K$15,IF(L61="V",$D61*L$15,0)))))*100</f>
        <v>6</v>
      </c>
      <c r="N61" s="103"/>
    </row>
    <row r="62" spans="1:14" x14ac:dyDescent="0.4">
      <c r="A62" s="99" t="s">
        <v>119</v>
      </c>
      <c r="B62" s="100" t="s">
        <v>6</v>
      </c>
      <c r="C62" s="101" t="str">
        <f>VLOOKUP($A62,PERTANYAAN!$A$18:$E$71,3,0)</f>
        <v>Inisiatif</v>
      </c>
      <c r="D62" s="46">
        <f>VLOOKUP($A62,PERTANYAAN!$A$18:$E$71,5,0)</f>
        <v>0.05</v>
      </c>
      <c r="E62" s="17"/>
      <c r="F62" s="16"/>
      <c r="G62" s="16"/>
      <c r="H62" s="102"/>
      <c r="I62" s="102"/>
      <c r="J62" s="102"/>
      <c r="K62" s="102"/>
      <c r="L62" s="102" t="s">
        <v>16</v>
      </c>
      <c r="M62" s="16">
        <f t="shared" si="2"/>
        <v>5</v>
      </c>
      <c r="N62" s="103"/>
    </row>
    <row r="63" spans="1:14" x14ac:dyDescent="0.4">
      <c r="A63" s="99" t="s">
        <v>120</v>
      </c>
      <c r="B63" s="100" t="s">
        <v>6</v>
      </c>
      <c r="C63" s="101" t="str">
        <f>VLOOKUP($A63,PERTANYAAN!$A$18:$E$71,3,0)</f>
        <v>Adaptif</v>
      </c>
      <c r="D63" s="46">
        <f>VLOOKUP($A63,PERTANYAAN!$A$18:$E$71,5,0)</f>
        <v>2.5000000000000001E-2</v>
      </c>
      <c r="E63" s="17"/>
      <c r="F63" s="16"/>
      <c r="G63" s="16"/>
      <c r="H63" s="102"/>
      <c r="I63" s="102"/>
      <c r="J63" s="102"/>
      <c r="K63" s="102"/>
      <c r="L63" s="102" t="s">
        <v>16</v>
      </c>
      <c r="M63" s="16">
        <f t="shared" si="2"/>
        <v>2.5</v>
      </c>
      <c r="N63" s="103"/>
    </row>
    <row r="64" spans="1:14" x14ac:dyDescent="0.4">
      <c r="A64" s="92"/>
      <c r="B64" s="104"/>
      <c r="C64" s="103"/>
      <c r="D64" s="17"/>
      <c r="E64" s="17"/>
      <c r="F64" s="16"/>
      <c r="G64" s="16"/>
      <c r="H64" s="102"/>
      <c r="I64" s="102"/>
      <c r="J64" s="102"/>
      <c r="K64" s="102"/>
      <c r="L64" s="102"/>
      <c r="M64" s="16"/>
      <c r="N64" s="103"/>
    </row>
    <row r="65" spans="1:14" s="2" customFormat="1" x14ac:dyDescent="0.4">
      <c r="A65" s="3"/>
      <c r="B65" s="48" t="s">
        <v>100</v>
      </c>
      <c r="C65" s="49" t="s">
        <v>48</v>
      </c>
      <c r="D65" s="51">
        <f>SUM(D66:D68)</f>
        <v>0.05</v>
      </c>
      <c r="E65" s="51"/>
      <c r="F65" s="54"/>
      <c r="G65" s="54"/>
      <c r="H65" s="59"/>
      <c r="I65" s="59"/>
      <c r="J65" s="59"/>
      <c r="K65" s="59"/>
      <c r="L65" s="59"/>
      <c r="M65" s="54">
        <f>SUM(M66:M68)</f>
        <v>5</v>
      </c>
      <c r="N65" s="49"/>
    </row>
    <row r="66" spans="1:14" x14ac:dyDescent="0.4">
      <c r="A66" s="99" t="s">
        <v>121</v>
      </c>
      <c r="B66" s="100" t="s">
        <v>6</v>
      </c>
      <c r="C66" s="101" t="str">
        <f>VLOOKUP($A66,PERTANYAAN!$A$18:$E$71,3,0)</f>
        <v>Ekspektasi Salary (Mengukur Budget &amp; Skill)</v>
      </c>
      <c r="D66" s="46">
        <f>VLOOKUP($A66,PERTANYAAN!$A$18:$E$71,5,0)</f>
        <v>0.04</v>
      </c>
      <c r="E66" s="17"/>
      <c r="F66" s="16"/>
      <c r="G66" s="16"/>
      <c r="H66" s="102"/>
      <c r="I66" s="102"/>
      <c r="J66" s="102"/>
      <c r="K66" s="102"/>
      <c r="L66" s="102" t="s">
        <v>16</v>
      </c>
      <c r="M66" s="16">
        <f t="shared" ref="M66:M67" si="3">IF(H66="V",$D66*H$15,IF(I66="V",$D66*I$15,IF(J66="V",$D66*J$15,IF(K66="V",$D66*K$15,IF(L66="V",$D66*L$15,0)))))*100</f>
        <v>4</v>
      </c>
      <c r="N66" s="103"/>
    </row>
    <row r="67" spans="1:14" x14ac:dyDescent="0.4">
      <c r="A67" s="99" t="s">
        <v>122</v>
      </c>
      <c r="B67" s="100" t="s">
        <v>6</v>
      </c>
      <c r="C67" s="101" t="str">
        <f>VLOOKUP($A67,PERTANYAAN!$A$18:$E$71,3,0)</f>
        <v>Tujuan Karir</v>
      </c>
      <c r="D67" s="46">
        <f>VLOOKUP($A67,PERTANYAAN!$A$18:$E$71,5,0)</f>
        <v>0.01</v>
      </c>
      <c r="E67" s="17"/>
      <c r="F67" s="16"/>
      <c r="G67" s="16"/>
      <c r="H67" s="102"/>
      <c r="I67" s="102"/>
      <c r="J67" s="102"/>
      <c r="K67" s="102"/>
      <c r="L67" s="102" t="s">
        <v>16</v>
      </c>
      <c r="M67" s="16">
        <f t="shared" si="3"/>
        <v>1</v>
      </c>
      <c r="N67" s="103"/>
    </row>
    <row r="68" spans="1:14" x14ac:dyDescent="0.4">
      <c r="A68" s="99"/>
      <c r="B68" s="104"/>
      <c r="C68" s="103"/>
      <c r="D68" s="17"/>
      <c r="E68" s="17"/>
      <c r="F68" s="16"/>
      <c r="G68" s="16"/>
      <c r="H68" s="102"/>
      <c r="I68" s="102"/>
      <c r="J68" s="102"/>
      <c r="K68" s="102"/>
      <c r="L68" s="102"/>
      <c r="M68" s="16"/>
      <c r="N68" s="103"/>
    </row>
    <row r="69" spans="1:14" s="2" customFormat="1" x14ac:dyDescent="0.4">
      <c r="A69" s="3"/>
      <c r="B69" s="48" t="s">
        <v>101</v>
      </c>
      <c r="C69" s="49" t="s">
        <v>134</v>
      </c>
      <c r="D69" s="51">
        <f>SUM(D70:D70)</f>
        <v>0.05</v>
      </c>
      <c r="E69" s="51"/>
      <c r="F69" s="54"/>
      <c r="G69" s="54"/>
      <c r="H69" s="59"/>
      <c r="I69" s="59"/>
      <c r="J69" s="59"/>
      <c r="K69" s="59"/>
      <c r="L69" s="59"/>
      <c r="M69" s="54">
        <f>SUM(M70)</f>
        <v>5</v>
      </c>
      <c r="N69" s="49"/>
    </row>
    <row r="70" spans="1:14" x14ac:dyDescent="0.4">
      <c r="A70" s="99" t="s">
        <v>123</v>
      </c>
      <c r="B70" s="100" t="s">
        <v>6</v>
      </c>
      <c r="C70" s="101" t="str">
        <f>VLOOKUP($A70,PERTANYAAN!$A$18:$E$71,3,0)</f>
        <v>Pertanyaan Spesifik User</v>
      </c>
      <c r="D70" s="46">
        <f>VLOOKUP($A70,PERTANYAAN!$A$18:$E$71,5,0)</f>
        <v>0.05</v>
      </c>
      <c r="E70" s="17"/>
      <c r="F70" s="16"/>
      <c r="G70" s="16"/>
      <c r="H70" s="102"/>
      <c r="I70" s="102"/>
      <c r="J70" s="102"/>
      <c r="K70" s="102"/>
      <c r="L70" s="102" t="s">
        <v>16</v>
      </c>
      <c r="M70" s="16">
        <f t="shared" ref="M70" si="4">IF(H70="V",$D70*H$15,IF(I70="V",$D70*I$15,IF(J70="V",$D70*J$15,IF(K70="V",$D70*K$15,IF(L70="V",$D70*L$15,0)))))*100</f>
        <v>5</v>
      </c>
      <c r="N70" s="103"/>
    </row>
    <row r="71" spans="1:14" x14ac:dyDescent="0.4">
      <c r="B71" s="105"/>
      <c r="C71" s="106"/>
      <c r="D71" s="22"/>
      <c r="E71" s="22"/>
      <c r="F71" s="21"/>
      <c r="G71" s="21"/>
      <c r="H71" s="107"/>
      <c r="I71" s="107"/>
      <c r="J71" s="107"/>
      <c r="K71" s="107"/>
      <c r="L71" s="107"/>
      <c r="M71" s="21"/>
      <c r="N71" s="106"/>
    </row>
    <row r="73" spans="1:14" x14ac:dyDescent="0.4">
      <c r="H73" s="26" t="s">
        <v>61</v>
      </c>
    </row>
    <row r="74" spans="1:14" x14ac:dyDescent="0.4">
      <c r="H74" s="94" t="s">
        <v>39</v>
      </c>
      <c r="I74" s="94" t="s">
        <v>29</v>
      </c>
      <c r="J74" s="95" t="s">
        <v>69</v>
      </c>
    </row>
    <row r="75" spans="1:14" x14ac:dyDescent="0.4">
      <c r="H75" s="94" t="s">
        <v>40</v>
      </c>
      <c r="I75" s="94" t="s">
        <v>29</v>
      </c>
      <c r="J75" s="95" t="s">
        <v>70</v>
      </c>
    </row>
    <row r="76" spans="1:14" x14ac:dyDescent="0.4">
      <c r="H76" s="94" t="s">
        <v>41</v>
      </c>
      <c r="I76" s="94" t="s">
        <v>29</v>
      </c>
      <c r="J76" s="95" t="s">
        <v>71</v>
      </c>
    </row>
    <row r="77" spans="1:14" x14ac:dyDescent="0.4">
      <c r="H77" s="94" t="s">
        <v>42</v>
      </c>
      <c r="I77" s="94" t="s">
        <v>29</v>
      </c>
      <c r="J77" s="95" t="s">
        <v>72</v>
      </c>
    </row>
    <row r="78" spans="1:14" x14ac:dyDescent="0.4">
      <c r="H78" s="94" t="s">
        <v>43</v>
      </c>
      <c r="I78" s="94" t="s">
        <v>29</v>
      </c>
      <c r="J78" s="95" t="s">
        <v>73</v>
      </c>
    </row>
  </sheetData>
  <mergeCells count="8"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A6429-44B1-40C1-90E5-35165A244AFB}">
  <sheetPr>
    <tabColor rgb="FFFFC000"/>
  </sheetPr>
  <dimension ref="A1:N78"/>
  <sheetViews>
    <sheetView zoomScaleNormal="100" workbookViewId="0">
      <pane xSplit="1" ySplit="14" topLeftCell="B15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C13" sqref="C13:C14"/>
    </sheetView>
  </sheetViews>
  <sheetFormatPr defaultColWidth="8.84375" defaultRowHeight="14.6" outlineLevelRow="1" x14ac:dyDescent="0.4"/>
  <cols>
    <col min="1" max="1" width="17.69140625" style="93" customWidth="1"/>
    <col min="2" max="2" width="4.3046875" style="92" bestFit="1" customWidth="1"/>
    <col min="3" max="3" width="40.15234375" style="93" bestFit="1" customWidth="1"/>
    <col min="4" max="4" width="8.84375" style="5"/>
    <col min="5" max="5" width="1.69140625" style="5" customWidth="1"/>
    <col min="6" max="7" width="8.84375" style="4"/>
    <col min="8" max="12" width="8.84375" style="94"/>
    <col min="13" max="13" width="8.84375" style="4"/>
    <col min="14" max="14" width="16.84375" style="93" customWidth="1"/>
    <col min="15" max="16384" width="8.84375" style="93"/>
  </cols>
  <sheetData>
    <row r="1" spans="1:14" x14ac:dyDescent="0.4">
      <c r="A1" s="2" t="s">
        <v>125</v>
      </c>
    </row>
    <row r="2" spans="1:14" x14ac:dyDescent="0.4">
      <c r="A2" s="2" t="s">
        <v>0</v>
      </c>
    </row>
    <row r="5" spans="1:14" x14ac:dyDescent="0.4">
      <c r="A5" s="2" t="s">
        <v>1</v>
      </c>
      <c r="B5" s="92" t="s">
        <v>29</v>
      </c>
      <c r="C5" s="2" t="s">
        <v>129</v>
      </c>
    </row>
    <row r="6" spans="1:14" x14ac:dyDescent="0.4">
      <c r="A6" s="2" t="s">
        <v>20</v>
      </c>
      <c r="B6" s="92" t="s">
        <v>29</v>
      </c>
      <c r="C6" s="93" t="s">
        <v>31</v>
      </c>
    </row>
    <row r="7" spans="1:14" x14ac:dyDescent="0.4">
      <c r="A7" s="2" t="s">
        <v>32</v>
      </c>
      <c r="B7" s="92" t="s">
        <v>29</v>
      </c>
      <c r="C7" s="93" t="s">
        <v>171</v>
      </c>
    </row>
    <row r="8" spans="1:14" x14ac:dyDescent="0.4">
      <c r="A8" s="2" t="s">
        <v>34</v>
      </c>
      <c r="B8" s="92" t="s">
        <v>29</v>
      </c>
      <c r="C8" s="93" t="s">
        <v>35</v>
      </c>
    </row>
    <row r="9" spans="1:14" x14ac:dyDescent="0.4">
      <c r="A9" s="2" t="s">
        <v>28</v>
      </c>
      <c r="B9" s="92" t="s">
        <v>29</v>
      </c>
      <c r="C9" s="93" t="s">
        <v>83</v>
      </c>
      <c r="D9" s="5" t="s">
        <v>172</v>
      </c>
      <c r="F9" s="4" t="s">
        <v>173</v>
      </c>
    </row>
    <row r="10" spans="1:14" x14ac:dyDescent="0.4">
      <c r="A10" s="2" t="s">
        <v>38</v>
      </c>
      <c r="B10" s="92" t="s">
        <v>29</v>
      </c>
      <c r="C10" s="2" t="s">
        <v>88</v>
      </c>
      <c r="D10" s="6" t="s">
        <v>92</v>
      </c>
    </row>
    <row r="11" spans="1:14" x14ac:dyDescent="0.4">
      <c r="A11" s="2" t="s">
        <v>67</v>
      </c>
      <c r="B11" s="92" t="s">
        <v>29</v>
      </c>
      <c r="C11" s="24">
        <f>M16</f>
        <v>57.5</v>
      </c>
    </row>
    <row r="13" spans="1:14" s="2" customFormat="1" x14ac:dyDescent="0.4">
      <c r="A13" s="67" t="s">
        <v>124</v>
      </c>
      <c r="B13" s="68" t="s">
        <v>2</v>
      </c>
      <c r="C13" s="68" t="s">
        <v>3</v>
      </c>
      <c r="D13" s="70" t="s">
        <v>19</v>
      </c>
      <c r="E13" s="42"/>
      <c r="F13" s="65" t="s">
        <v>18</v>
      </c>
      <c r="G13" s="65"/>
      <c r="H13" s="68" t="s">
        <v>37</v>
      </c>
      <c r="I13" s="68"/>
      <c r="J13" s="68"/>
      <c r="K13" s="68"/>
      <c r="L13" s="68"/>
      <c r="M13" s="65" t="s">
        <v>17</v>
      </c>
      <c r="N13" s="66" t="s">
        <v>61</v>
      </c>
    </row>
    <row r="14" spans="1:14" s="2" customFormat="1" x14ac:dyDescent="0.4">
      <c r="A14" s="67"/>
      <c r="B14" s="68"/>
      <c r="C14" s="96"/>
      <c r="D14" s="71"/>
      <c r="E14" s="44"/>
      <c r="F14" s="43" t="s">
        <v>14</v>
      </c>
      <c r="G14" s="43" t="s">
        <v>15</v>
      </c>
      <c r="H14" s="41" t="s">
        <v>39</v>
      </c>
      <c r="I14" s="41" t="s">
        <v>40</v>
      </c>
      <c r="J14" s="41" t="s">
        <v>41</v>
      </c>
      <c r="K14" s="41" t="s">
        <v>42</v>
      </c>
      <c r="L14" s="41" t="s">
        <v>43</v>
      </c>
      <c r="M14" s="65"/>
      <c r="N14" s="66"/>
    </row>
    <row r="15" spans="1:14" s="2" customFormat="1" x14ac:dyDescent="0.4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4">
      <c r="A16" s="3"/>
      <c r="B16" s="39"/>
      <c r="C16" s="63" t="s">
        <v>65</v>
      </c>
      <c r="D16" s="39"/>
      <c r="E16" s="39"/>
      <c r="F16" s="61"/>
      <c r="G16" s="61"/>
      <c r="H16" s="39"/>
      <c r="I16" s="39"/>
      <c r="J16" s="39"/>
      <c r="K16" s="39"/>
      <c r="L16" s="39"/>
      <c r="M16" s="40">
        <f>M17+M21+M27+M43+M60+M65+M69</f>
        <v>57.5</v>
      </c>
      <c r="N16" s="35"/>
    </row>
    <row r="17" spans="1:14" x14ac:dyDescent="0.4">
      <c r="B17" s="48" t="s">
        <v>66</v>
      </c>
      <c r="C17" s="49" t="s">
        <v>8</v>
      </c>
      <c r="D17" s="51">
        <f>SUM(D18:D19)</f>
        <v>0.1</v>
      </c>
      <c r="E17" s="51"/>
      <c r="F17" s="54"/>
      <c r="G17" s="54"/>
      <c r="H17" s="97"/>
      <c r="I17" s="97"/>
      <c r="J17" s="97"/>
      <c r="K17" s="97"/>
      <c r="L17" s="97"/>
      <c r="M17" s="54">
        <f>SUM(M18:M20)</f>
        <v>0</v>
      </c>
      <c r="N17" s="98"/>
    </row>
    <row r="18" spans="1:14" x14ac:dyDescent="0.4">
      <c r="A18" s="99" t="s">
        <v>102</v>
      </c>
      <c r="B18" s="100">
        <v>1</v>
      </c>
      <c r="C18" s="101" t="str">
        <f>VLOOKUP($A18,[2]PERTANYAAN!$A$18:$E$71,3,0)</f>
        <v>Pengalaman di dalam Daniswara Group</v>
      </c>
      <c r="D18" s="46">
        <f>VLOOKUP($A18,[2]PERTANYAAN!$A$18:$E$71,5,0)</f>
        <v>0.06</v>
      </c>
      <c r="E18" s="17"/>
      <c r="F18" s="16"/>
      <c r="G18" s="16"/>
      <c r="H18" s="102"/>
      <c r="I18" s="102"/>
      <c r="J18" s="102"/>
      <c r="K18" s="102"/>
      <c r="L18" s="102"/>
      <c r="M18" s="16">
        <f>IF(F18="V",D18*100,0)</f>
        <v>0</v>
      </c>
      <c r="N18" s="103"/>
    </row>
    <row r="19" spans="1:14" x14ac:dyDescent="0.4">
      <c r="A19" s="99" t="s">
        <v>103</v>
      </c>
      <c r="B19" s="100">
        <f>B18+1</f>
        <v>2</v>
      </c>
      <c r="C19" s="101" t="str">
        <f>VLOOKUP($A19,[2]PERTANYAAN!$A$18:$E$71,3,0)</f>
        <v>Pengalaman di luar Daniswara Group</v>
      </c>
      <c r="D19" s="46">
        <f>VLOOKUP($A19,[2]PERTANYAAN!$A$18:$E$71,5,0)</f>
        <v>0.04</v>
      </c>
      <c r="E19" s="17"/>
      <c r="F19" s="16"/>
      <c r="G19" s="16"/>
      <c r="H19" s="102"/>
      <c r="I19" s="102"/>
      <c r="J19" s="102"/>
      <c r="K19" s="102"/>
      <c r="L19" s="102"/>
      <c r="M19" s="16">
        <f>IF(F19="V",D19*100,0)</f>
        <v>0</v>
      </c>
      <c r="N19" s="103"/>
    </row>
    <row r="20" spans="1:14" x14ac:dyDescent="0.4">
      <c r="A20" s="92"/>
      <c r="B20" s="104"/>
      <c r="C20" s="103"/>
      <c r="D20" s="17"/>
      <c r="E20" s="17"/>
      <c r="F20" s="16"/>
      <c r="G20" s="16"/>
      <c r="H20" s="102"/>
      <c r="I20" s="102"/>
      <c r="J20" s="102"/>
      <c r="K20" s="102"/>
      <c r="L20" s="102"/>
      <c r="M20" s="16"/>
      <c r="N20" s="103"/>
    </row>
    <row r="21" spans="1:14" x14ac:dyDescent="0.4">
      <c r="A21" s="92"/>
      <c r="B21" s="48" t="s">
        <v>42</v>
      </c>
      <c r="C21" s="49" t="s">
        <v>9</v>
      </c>
      <c r="D21" s="51">
        <f>SUM(D22:D25)</f>
        <v>0.05</v>
      </c>
      <c r="E21" s="51"/>
      <c r="F21" s="54"/>
      <c r="G21" s="54"/>
      <c r="H21" s="97"/>
      <c r="I21" s="97"/>
      <c r="J21" s="97"/>
      <c r="K21" s="97"/>
      <c r="L21" s="97"/>
      <c r="M21" s="54">
        <f>SUM(M22:M25)</f>
        <v>5</v>
      </c>
      <c r="N21" s="98"/>
    </row>
    <row r="22" spans="1:14" x14ac:dyDescent="0.4">
      <c r="A22" s="99" t="s">
        <v>104</v>
      </c>
      <c r="B22" s="100">
        <v>1</v>
      </c>
      <c r="C22" s="101" t="str">
        <f>VLOOKUP($A22,[2]PERTANYAAN!$A$18:$E$71,3,0)</f>
        <v>Identitas (KTP &amp; KK)</v>
      </c>
      <c r="D22" s="46">
        <f>VLOOKUP($A22,[2]PERTANYAAN!$A$18:$E$71,5,0)</f>
        <v>0.01</v>
      </c>
      <c r="E22" s="17"/>
      <c r="F22" s="16" t="s">
        <v>16</v>
      </c>
      <c r="G22" s="16"/>
      <c r="H22" s="102"/>
      <c r="I22" s="102"/>
      <c r="J22" s="102"/>
      <c r="K22" s="102"/>
      <c r="L22" s="102"/>
      <c r="M22" s="16">
        <f>IF(F22="V",D22*100,0)</f>
        <v>1</v>
      </c>
      <c r="N22" s="103"/>
    </row>
    <row r="23" spans="1:14" x14ac:dyDescent="0.4">
      <c r="A23" s="99" t="s">
        <v>105</v>
      </c>
      <c r="B23" s="100">
        <f>B22+1</f>
        <v>2</v>
      </c>
      <c r="C23" s="101" t="str">
        <f>VLOOKUP($A23,[2]PERTANYAAN!$A$18:$E$71,3,0)</f>
        <v>SIM A (utk jabatan di Divisi Operasi)</v>
      </c>
      <c r="D23" s="46">
        <f>VLOOKUP($A23,[2]PERTANYAAN!$A$18:$E$71,5,0)</f>
        <v>0.02</v>
      </c>
      <c r="E23" s="17"/>
      <c r="F23" s="16" t="s">
        <v>16</v>
      </c>
      <c r="G23" s="16"/>
      <c r="H23" s="102"/>
      <c r="I23" s="102"/>
      <c r="J23" s="102"/>
      <c r="K23" s="102"/>
      <c r="L23" s="102"/>
      <c r="M23" s="16">
        <f>IF(F23="V",D23*100,0)</f>
        <v>2</v>
      </c>
      <c r="N23" s="103"/>
    </row>
    <row r="24" spans="1:14" x14ac:dyDescent="0.4">
      <c r="A24" s="99" t="s">
        <v>106</v>
      </c>
      <c r="B24" s="100">
        <f t="shared" ref="B24:B25" si="0">B23+1</f>
        <v>3</v>
      </c>
      <c r="C24" s="101" t="str">
        <f>VLOOKUP($A24,[2]PERTANYAAN!$A$18:$E$71,3,0)</f>
        <v>SIM C</v>
      </c>
      <c r="D24" s="46">
        <f>VLOOKUP($A24,[2]PERTANYAAN!$A$18:$E$71,5,0)</f>
        <v>0.01</v>
      </c>
      <c r="E24" s="17"/>
      <c r="F24" s="16" t="s">
        <v>16</v>
      </c>
      <c r="G24" s="16"/>
      <c r="H24" s="102"/>
      <c r="I24" s="102"/>
      <c r="J24" s="102"/>
      <c r="K24" s="102"/>
      <c r="L24" s="102"/>
      <c r="M24" s="16">
        <f>IF(F24="V",D24*100,0)</f>
        <v>1</v>
      </c>
      <c r="N24" s="103"/>
    </row>
    <row r="25" spans="1:14" x14ac:dyDescent="0.4">
      <c r="A25" s="99" t="s">
        <v>107</v>
      </c>
      <c r="B25" s="100">
        <f t="shared" si="0"/>
        <v>4</v>
      </c>
      <c r="C25" s="101" t="str">
        <f>VLOOKUP($A25,[2]PERTANYAAN!$A$18:$E$71,3,0)</f>
        <v>NPWP</v>
      </c>
      <c r="D25" s="46">
        <f>VLOOKUP($A25,[2]PERTANYAAN!$A$18:$E$71,5,0)</f>
        <v>0.01</v>
      </c>
      <c r="E25" s="17"/>
      <c r="F25" s="16" t="s">
        <v>16</v>
      </c>
      <c r="G25" s="16"/>
      <c r="H25" s="102"/>
      <c r="I25" s="102"/>
      <c r="J25" s="102"/>
      <c r="K25" s="102"/>
      <c r="L25" s="102"/>
      <c r="M25" s="16">
        <f>IF(F25="V",D25*100,0)</f>
        <v>1</v>
      </c>
      <c r="N25" s="103"/>
    </row>
    <row r="26" spans="1:14" x14ac:dyDescent="0.4">
      <c r="A26" s="92"/>
      <c r="B26" s="104"/>
      <c r="C26" s="103"/>
      <c r="D26" s="17"/>
      <c r="E26" s="17"/>
      <c r="F26" s="16"/>
      <c r="G26" s="16"/>
      <c r="H26" s="102"/>
      <c r="I26" s="102"/>
      <c r="J26" s="102"/>
      <c r="K26" s="102"/>
      <c r="L26" s="102"/>
      <c r="M26" s="16"/>
      <c r="N26" s="103"/>
    </row>
    <row r="27" spans="1:14" x14ac:dyDescent="0.4">
      <c r="A27" s="92"/>
      <c r="B27" s="48" t="s">
        <v>97</v>
      </c>
      <c r="C27" s="49" t="s">
        <v>21</v>
      </c>
      <c r="D27" s="51">
        <f>D28</f>
        <v>0.35000000000000003</v>
      </c>
      <c r="E27" s="57"/>
      <c r="F27" s="60"/>
      <c r="G27" s="60"/>
      <c r="H27" s="97"/>
      <c r="I27" s="97"/>
      <c r="J27" s="97"/>
      <c r="K27" s="97"/>
      <c r="L27" s="97"/>
      <c r="M27" s="54">
        <f>M28</f>
        <v>22</v>
      </c>
      <c r="N27" s="98"/>
    </row>
    <row r="28" spans="1:14" x14ac:dyDescent="0.4">
      <c r="A28" s="99" t="s">
        <v>108</v>
      </c>
      <c r="B28" s="100">
        <v>1</v>
      </c>
      <c r="C28" s="101" t="str">
        <f>VLOOKUP($A28,[2]PERTANYAAN!$A$18:$E$71,3,0)</f>
        <v>Operasi / Logistik</v>
      </c>
      <c r="D28" s="46">
        <f>VLOOKUP($A28,[2]PERTANYAAN!$A$18:$E$71,5,0)</f>
        <v>0.35000000000000003</v>
      </c>
      <c r="E28" s="17"/>
      <c r="F28" s="16"/>
      <c r="G28" s="16"/>
      <c r="H28" s="102"/>
      <c r="I28" s="102"/>
      <c r="J28" s="102"/>
      <c r="K28" s="102"/>
      <c r="L28" s="102"/>
      <c r="M28" s="16">
        <f>SUM(M29:M33)</f>
        <v>22</v>
      </c>
      <c r="N28" s="103"/>
    </row>
    <row r="29" spans="1:14" x14ac:dyDescent="0.4">
      <c r="A29" s="99" t="s">
        <v>109</v>
      </c>
      <c r="B29" s="100" t="s">
        <v>6</v>
      </c>
      <c r="C29" s="101" t="str">
        <f>VLOOKUP($A29,[2]PERTANYAAN!$A$18:$E$71,3,0)</f>
        <v>Skill Mengemudi</v>
      </c>
      <c r="D29" s="46">
        <f>VLOOKUP($A29,[2]PERTANYAAN!$A$18:$E$71,5,0)</f>
        <v>0.15</v>
      </c>
      <c r="E29" s="17"/>
      <c r="F29" s="16"/>
      <c r="G29" s="16"/>
      <c r="H29" s="102"/>
      <c r="I29" s="102"/>
      <c r="J29" s="102"/>
      <c r="K29" s="102" t="s">
        <v>16</v>
      </c>
      <c r="L29" s="102"/>
      <c r="M29" s="16">
        <f>IF(H29="V",$D29*H$15,IF(I29="V",$D29*I$15,IF(J29="V",$D29*J$15,IF(K29="V",$D29*K$15,IF(L29="V",$D29*L$15,0)))))*100</f>
        <v>12</v>
      </c>
      <c r="N29" s="103"/>
    </row>
    <row r="30" spans="1:14" x14ac:dyDescent="0.4">
      <c r="A30" s="99" t="s">
        <v>110</v>
      </c>
      <c r="B30" s="100" t="s">
        <v>6</v>
      </c>
      <c r="C30" s="101" t="str">
        <f>VLOOKUP($A30,[2]PERTANYAAN!$A$18:$E$71,3,0)</f>
        <v>Flow Administrasi Logistik</v>
      </c>
      <c r="D30" s="46">
        <f>VLOOKUP($A30,[2]PERTANYAAN!$A$18:$E$71,5,0)</f>
        <v>0.1</v>
      </c>
      <c r="E30" s="17"/>
      <c r="F30" s="16"/>
      <c r="G30" s="16"/>
      <c r="H30" s="102"/>
      <c r="I30" s="102" t="s">
        <v>16</v>
      </c>
      <c r="J30" s="102"/>
      <c r="K30" s="102"/>
      <c r="L30" s="102"/>
      <c r="M30" s="16">
        <f t="shared" ref="M30:M32" si="1">IF(H30="V",$D30*H$15,IF(I30="V",$D30*I$15,IF(J30="V",$D30*J$15,IF(K30="V",$D30*K$15,IF(L30="V",$D30*L$15,0)))))*100</f>
        <v>4.0000000000000009</v>
      </c>
      <c r="N30" s="103"/>
    </row>
    <row r="31" spans="1:14" x14ac:dyDescent="0.4">
      <c r="A31" s="99" t="s">
        <v>111</v>
      </c>
      <c r="B31" s="100" t="s">
        <v>6</v>
      </c>
      <c r="C31" s="101" t="str">
        <f>VLOOKUP($A31,[2]PERTANYAAN!$A$18:$E$71,3,0)</f>
        <v>Pengetahuan terkait logistik</v>
      </c>
      <c r="D31" s="46">
        <f>VLOOKUP($A31,[2]PERTANYAAN!$A$18:$E$71,5,0)</f>
        <v>2.5000000000000001E-2</v>
      </c>
      <c r="E31" s="17"/>
      <c r="F31" s="16"/>
      <c r="G31" s="16"/>
      <c r="H31" s="102"/>
      <c r="I31" s="102"/>
      <c r="J31" s="102" t="s">
        <v>16</v>
      </c>
      <c r="K31" s="102"/>
      <c r="L31" s="102"/>
      <c r="M31" s="16">
        <f t="shared" si="1"/>
        <v>1.5</v>
      </c>
      <c r="N31" s="103"/>
    </row>
    <row r="32" spans="1:14" x14ac:dyDescent="0.4">
      <c r="A32" s="99" t="s">
        <v>112</v>
      </c>
      <c r="B32" s="100" t="s">
        <v>6</v>
      </c>
      <c r="C32" s="101" t="str">
        <f>VLOOKUP($A32,[2]PERTANYAAN!$A$18:$E$71,3,0)</f>
        <v>Pengalaman di Bongkar Muat</v>
      </c>
      <c r="D32" s="46">
        <f>VLOOKUP($A32,[2]PERTANYAAN!$A$18:$E$71,5,0)</f>
        <v>7.4999999999999997E-2</v>
      </c>
      <c r="E32" s="17"/>
      <c r="F32" s="16"/>
      <c r="G32" s="16"/>
      <c r="H32" s="102"/>
      <c r="I32" s="102"/>
      <c r="J32" s="102" t="s">
        <v>16</v>
      </c>
      <c r="K32" s="102"/>
      <c r="L32" s="102"/>
      <c r="M32" s="16">
        <f t="shared" si="1"/>
        <v>4.5</v>
      </c>
      <c r="N32" s="103"/>
    </row>
    <row r="33" spans="1:14" x14ac:dyDescent="0.4">
      <c r="A33" s="92"/>
      <c r="B33" s="100"/>
      <c r="C33" s="103"/>
      <c r="D33" s="17"/>
      <c r="E33" s="17"/>
      <c r="F33" s="16"/>
      <c r="G33" s="16"/>
      <c r="H33" s="102"/>
      <c r="I33" s="102"/>
      <c r="J33" s="102"/>
      <c r="K33" s="102"/>
      <c r="L33" s="102"/>
      <c r="M33" s="16"/>
      <c r="N33" s="103"/>
    </row>
    <row r="34" spans="1:14" hidden="1" outlineLevel="1" x14ac:dyDescent="0.4">
      <c r="A34" s="92"/>
      <c r="B34" s="100">
        <f>B28+1</f>
        <v>2</v>
      </c>
      <c r="C34" s="103" t="s">
        <v>22</v>
      </c>
      <c r="D34" s="17">
        <f>SUM(D35:D37)</f>
        <v>0.35</v>
      </c>
      <c r="E34" s="17"/>
      <c r="F34" s="16"/>
      <c r="G34" s="16"/>
      <c r="H34" s="102"/>
      <c r="I34" s="102"/>
      <c r="J34" s="102"/>
      <c r="K34" s="102"/>
      <c r="L34" s="102"/>
      <c r="M34" s="16"/>
      <c r="N34" s="103"/>
    </row>
    <row r="35" spans="1:14" hidden="1" outlineLevel="1" x14ac:dyDescent="0.4">
      <c r="A35" s="92"/>
      <c r="B35" s="100" t="s">
        <v>6</v>
      </c>
      <c r="C35" s="103" t="s">
        <v>44</v>
      </c>
      <c r="D35" s="17">
        <v>0.15</v>
      </c>
      <c r="E35" s="17"/>
      <c r="F35" s="16"/>
      <c r="G35" s="16"/>
      <c r="H35" s="102"/>
      <c r="I35" s="102"/>
      <c r="J35" s="102"/>
      <c r="K35" s="102"/>
      <c r="L35" s="102"/>
      <c r="M35" s="16"/>
      <c r="N35" s="103"/>
    </row>
    <row r="36" spans="1:14" hidden="1" outlineLevel="1" x14ac:dyDescent="0.4">
      <c r="A36" s="92"/>
      <c r="B36" s="100" t="s">
        <v>6</v>
      </c>
      <c r="C36" s="103" t="s">
        <v>50</v>
      </c>
      <c r="D36" s="17">
        <v>0.2</v>
      </c>
      <c r="E36" s="17"/>
      <c r="F36" s="16"/>
      <c r="G36" s="16"/>
      <c r="H36" s="102"/>
      <c r="I36" s="102"/>
      <c r="J36" s="102"/>
      <c r="K36" s="102"/>
      <c r="L36" s="102"/>
      <c r="M36" s="16"/>
      <c r="N36" s="103"/>
    </row>
    <row r="37" spans="1:14" hidden="1" outlineLevel="1" x14ac:dyDescent="0.4">
      <c r="A37" s="92"/>
      <c r="B37" s="100"/>
      <c r="C37" s="103"/>
      <c r="D37" s="17"/>
      <c r="E37" s="17"/>
      <c r="F37" s="16"/>
      <c r="G37" s="16"/>
      <c r="H37" s="102"/>
      <c r="I37" s="102"/>
      <c r="J37" s="102"/>
      <c r="K37" s="102"/>
      <c r="L37" s="102"/>
      <c r="M37" s="16"/>
      <c r="N37" s="103"/>
    </row>
    <row r="38" spans="1:14" hidden="1" outlineLevel="1" x14ac:dyDescent="0.4">
      <c r="A38" s="92"/>
      <c r="B38" s="104">
        <v>3</v>
      </c>
      <c r="C38" s="103" t="s">
        <v>23</v>
      </c>
      <c r="D38" s="17"/>
      <c r="E38" s="17"/>
      <c r="F38" s="16"/>
      <c r="G38" s="16"/>
      <c r="H38" s="102"/>
      <c r="I38" s="102"/>
      <c r="J38" s="102"/>
      <c r="K38" s="102"/>
      <c r="L38" s="102"/>
      <c r="M38" s="16"/>
      <c r="N38" s="103"/>
    </row>
    <row r="39" spans="1:14" hidden="1" outlineLevel="1" x14ac:dyDescent="0.4">
      <c r="A39" s="92"/>
      <c r="B39" s="100" t="s">
        <v>6</v>
      </c>
      <c r="C39" s="103" t="s">
        <v>52</v>
      </c>
      <c r="D39" s="17"/>
      <c r="E39" s="17"/>
      <c r="F39" s="16"/>
      <c r="G39" s="16"/>
      <c r="H39" s="102"/>
      <c r="I39" s="102"/>
      <c r="J39" s="102"/>
      <c r="K39" s="102"/>
      <c r="L39" s="102"/>
      <c r="M39" s="16"/>
      <c r="N39" s="103"/>
    </row>
    <row r="40" spans="1:14" hidden="1" outlineLevel="1" x14ac:dyDescent="0.4">
      <c r="A40" s="92"/>
      <c r="B40" s="100" t="s">
        <v>6</v>
      </c>
      <c r="C40" s="103" t="s">
        <v>53</v>
      </c>
      <c r="D40" s="17"/>
      <c r="E40" s="17"/>
      <c r="F40" s="16"/>
      <c r="G40" s="16"/>
      <c r="H40" s="102"/>
      <c r="I40" s="102"/>
      <c r="J40" s="102"/>
      <c r="K40" s="102"/>
      <c r="L40" s="102"/>
      <c r="M40" s="16"/>
      <c r="N40" s="103"/>
    </row>
    <row r="41" spans="1:14" hidden="1" outlineLevel="1" x14ac:dyDescent="0.4">
      <c r="A41" s="92"/>
      <c r="B41" s="100" t="s">
        <v>6</v>
      </c>
      <c r="C41" s="103"/>
      <c r="D41" s="17"/>
      <c r="E41" s="17"/>
      <c r="F41" s="16"/>
      <c r="G41" s="16"/>
      <c r="H41" s="102"/>
      <c r="I41" s="102"/>
      <c r="J41" s="102"/>
      <c r="K41" s="102"/>
      <c r="L41" s="102"/>
      <c r="M41" s="16"/>
      <c r="N41" s="103"/>
    </row>
    <row r="42" spans="1:14" hidden="1" outlineLevel="1" x14ac:dyDescent="0.4">
      <c r="A42" s="92"/>
      <c r="B42" s="104"/>
      <c r="C42" s="103"/>
      <c r="D42" s="17"/>
      <c r="E42" s="17"/>
      <c r="F42" s="16"/>
      <c r="G42" s="16"/>
      <c r="H42" s="102"/>
      <c r="I42" s="102"/>
      <c r="J42" s="102"/>
      <c r="K42" s="102"/>
      <c r="L42" s="102"/>
      <c r="M42" s="16"/>
      <c r="N42" s="103"/>
    </row>
    <row r="43" spans="1:14" s="2" customFormat="1" collapsed="1" x14ac:dyDescent="0.4">
      <c r="A43" s="3"/>
      <c r="B43" s="48" t="s">
        <v>98</v>
      </c>
      <c r="C43" s="49" t="s">
        <v>24</v>
      </c>
      <c r="D43" s="51">
        <f>D44</f>
        <v>0.25</v>
      </c>
      <c r="E43" s="51"/>
      <c r="F43" s="54"/>
      <c r="G43" s="54"/>
      <c r="H43" s="59"/>
      <c r="I43" s="59"/>
      <c r="J43" s="59"/>
      <c r="K43" s="59"/>
      <c r="L43" s="59"/>
      <c r="M43" s="54">
        <f>M44</f>
        <v>16.5</v>
      </c>
      <c r="N43" s="49"/>
    </row>
    <row r="44" spans="1:14" x14ac:dyDescent="0.4">
      <c r="A44" s="92" t="s">
        <v>113</v>
      </c>
      <c r="B44" s="104">
        <v>1</v>
      </c>
      <c r="C44" s="101" t="str">
        <f>VLOOKUP($A44,[2]PERTANYAAN!$A$18:$E$71,3,0)</f>
        <v>Staff</v>
      </c>
      <c r="D44" s="46">
        <f>VLOOKUP($A44,[2]PERTANYAAN!$A$18:$E$71,5,0)</f>
        <v>0.25</v>
      </c>
      <c r="E44" s="17"/>
      <c r="F44" s="16"/>
      <c r="G44" s="16"/>
      <c r="H44" s="102"/>
      <c r="I44" s="102"/>
      <c r="J44" s="102"/>
      <c r="K44" s="102"/>
      <c r="L44" s="102"/>
      <c r="M44" s="16">
        <f>SUM(M45:M48)</f>
        <v>16.5</v>
      </c>
      <c r="N44" s="103"/>
    </row>
    <row r="45" spans="1:14" x14ac:dyDescent="0.4">
      <c r="A45" s="99" t="s">
        <v>114</v>
      </c>
      <c r="B45" s="100" t="s">
        <v>6</v>
      </c>
      <c r="C45" s="101" t="str">
        <f>VLOOKUP($A45,[2]PERTANYAAN!$A$18:$E$71,3,0)</f>
        <v>Kepemimpinan</v>
      </c>
      <c r="D45" s="46">
        <f>VLOOKUP($A45,[2]PERTANYAAN!$A$18:$E$71,5,0)</f>
        <v>2.5000000000000001E-2</v>
      </c>
      <c r="E45" s="17"/>
      <c r="F45" s="16"/>
      <c r="G45" s="16"/>
      <c r="H45" s="102"/>
      <c r="I45" s="102"/>
      <c r="J45" s="102" t="s">
        <v>16</v>
      </c>
      <c r="K45" s="102"/>
      <c r="L45" s="102"/>
      <c r="M45" s="16">
        <f>IF(H45="V",$D45*H$15,IF(I45="V",$D45*I$15,IF(J45="V",$D45*J$15,IF(K45="V",$D45*K$15,IF(L45="V",$D45*L$15,0)))))*100</f>
        <v>1.5</v>
      </c>
      <c r="N45" s="103"/>
    </row>
    <row r="46" spans="1:14" x14ac:dyDescent="0.4">
      <c r="A46" s="99" t="s">
        <v>115</v>
      </c>
      <c r="B46" s="100" t="s">
        <v>6</v>
      </c>
      <c r="C46" s="101" t="str">
        <f>VLOOKUP($A46,[2]PERTANYAAN!$A$18:$E$71,3,0)</f>
        <v>Komunikasi</v>
      </c>
      <c r="D46" s="46">
        <f>VLOOKUP($A46,[2]PERTANYAAN!$A$18:$E$71,5,0)</f>
        <v>0.1</v>
      </c>
      <c r="E46" s="17"/>
      <c r="F46" s="16"/>
      <c r="G46" s="16"/>
      <c r="H46" s="102"/>
      <c r="I46" s="102"/>
      <c r="J46" s="102" t="s">
        <v>16</v>
      </c>
      <c r="K46" s="102"/>
      <c r="L46" s="102"/>
      <c r="M46" s="16">
        <f>IF(H46="V",$D46*H$15,IF(I46="V",$D46*I$15,IF(J46="V",$D46*J$15,IF(K46="V",$D46*K$15,IF(L46="V",$D46*L$15,0)))))*100</f>
        <v>6</v>
      </c>
      <c r="N46" s="103"/>
    </row>
    <row r="47" spans="1:14" x14ac:dyDescent="0.4">
      <c r="A47" s="99" t="s">
        <v>116</v>
      </c>
      <c r="B47" s="100" t="s">
        <v>6</v>
      </c>
      <c r="C47" s="101" t="str">
        <f>VLOOKUP($A47,[2]PERTANYAAN!$A$18:$E$71,3,0)</f>
        <v>Patuh pada Peraturan / Commitment</v>
      </c>
      <c r="D47" s="46">
        <f>VLOOKUP($A47,[2]PERTANYAAN!$A$18:$E$71,5,0)</f>
        <v>0.05</v>
      </c>
      <c r="E47" s="17"/>
      <c r="F47" s="16"/>
      <c r="G47" s="16"/>
      <c r="H47" s="102"/>
      <c r="I47" s="102"/>
      <c r="J47" s="102" t="s">
        <v>16</v>
      </c>
      <c r="K47" s="102"/>
      <c r="L47" s="102"/>
      <c r="M47" s="16">
        <f>IF(H47="V",$D47*H$15,IF(I47="V",$D47*I$15,IF(J47="V",$D47*J$15,IF(K47="V",$D47*K$15,IF(L47="V",$D47*L$15,0)))))*100</f>
        <v>3</v>
      </c>
      <c r="N47" s="103"/>
    </row>
    <row r="48" spans="1:14" x14ac:dyDescent="0.4">
      <c r="A48" s="99" t="s">
        <v>117</v>
      </c>
      <c r="B48" s="100" t="s">
        <v>6</v>
      </c>
      <c r="C48" s="101" t="str">
        <f>VLOOKUP($A48,[2]PERTANYAAN!$A$18:$E$71,3,0)</f>
        <v>Determinasi thd tekanan</v>
      </c>
      <c r="D48" s="46">
        <f>VLOOKUP($A48,[2]PERTANYAAN!$A$18:$E$71,5,0)</f>
        <v>7.4999999999999997E-2</v>
      </c>
      <c r="E48" s="17"/>
      <c r="F48" s="16"/>
      <c r="G48" s="16"/>
      <c r="H48" s="102"/>
      <c r="I48" s="102"/>
      <c r="J48" s="102"/>
      <c r="K48" s="102" t="s">
        <v>16</v>
      </c>
      <c r="L48" s="102"/>
      <c r="M48" s="16">
        <f>IF(H48="V",$D48*H$15,IF(I48="V",$D48*I$15,IF(J48="V",$D48*J$15,IF(K48="V",$D48*K$15,IF(L48="V",$D48*L$15,0)))))*100</f>
        <v>6</v>
      </c>
      <c r="N48" s="103"/>
    </row>
    <row r="49" spans="1:14" x14ac:dyDescent="0.4">
      <c r="A49" s="92"/>
      <c r="B49" s="100"/>
      <c r="C49" s="103"/>
      <c r="D49" s="17"/>
      <c r="E49" s="17"/>
      <c r="F49" s="16"/>
      <c r="G49" s="16"/>
      <c r="H49" s="102"/>
      <c r="I49" s="102"/>
      <c r="J49" s="102"/>
      <c r="K49" s="102"/>
      <c r="L49" s="102"/>
      <c r="M49" s="16"/>
      <c r="N49" s="103"/>
    </row>
    <row r="50" spans="1:14" hidden="1" outlineLevel="1" x14ac:dyDescent="0.4">
      <c r="A50" s="92"/>
      <c r="B50" s="104">
        <v>2</v>
      </c>
      <c r="C50" s="103" t="s">
        <v>26</v>
      </c>
      <c r="D50" s="17"/>
      <c r="E50" s="17"/>
      <c r="F50" s="16"/>
      <c r="G50" s="16"/>
      <c r="H50" s="102"/>
      <c r="I50" s="102"/>
      <c r="J50" s="102"/>
      <c r="K50" s="102"/>
      <c r="L50" s="102"/>
      <c r="M50" s="16"/>
      <c r="N50" s="103"/>
    </row>
    <row r="51" spans="1:14" hidden="1" outlineLevel="1" x14ac:dyDescent="0.4">
      <c r="A51" s="92"/>
      <c r="B51" s="100" t="s">
        <v>6</v>
      </c>
      <c r="C51" s="103" t="s">
        <v>54</v>
      </c>
      <c r="D51" s="17"/>
      <c r="E51" s="17"/>
      <c r="F51" s="16"/>
      <c r="G51" s="16"/>
      <c r="H51" s="102"/>
      <c r="I51" s="102"/>
      <c r="J51" s="102"/>
      <c r="K51" s="102"/>
      <c r="L51" s="102"/>
      <c r="M51" s="16"/>
      <c r="N51" s="103"/>
    </row>
    <row r="52" spans="1:14" hidden="1" outlineLevel="1" x14ac:dyDescent="0.4">
      <c r="A52" s="92"/>
      <c r="B52" s="100" t="s">
        <v>6</v>
      </c>
      <c r="C52" s="103" t="s">
        <v>55</v>
      </c>
      <c r="D52" s="17"/>
      <c r="E52" s="17"/>
      <c r="F52" s="16"/>
      <c r="G52" s="16"/>
      <c r="H52" s="102"/>
      <c r="I52" s="102"/>
      <c r="J52" s="102"/>
      <c r="K52" s="102"/>
      <c r="L52" s="102"/>
      <c r="M52" s="16"/>
      <c r="N52" s="103"/>
    </row>
    <row r="53" spans="1:14" hidden="1" outlineLevel="1" x14ac:dyDescent="0.4">
      <c r="A53" s="92"/>
      <c r="B53" s="100" t="s">
        <v>6</v>
      </c>
      <c r="C53" s="103" t="s">
        <v>56</v>
      </c>
      <c r="D53" s="17"/>
      <c r="E53" s="17"/>
      <c r="F53" s="16"/>
      <c r="G53" s="16"/>
      <c r="H53" s="102"/>
      <c r="I53" s="102"/>
      <c r="J53" s="102"/>
      <c r="K53" s="102"/>
      <c r="L53" s="102"/>
      <c r="M53" s="16"/>
      <c r="N53" s="103"/>
    </row>
    <row r="54" spans="1:14" hidden="1" outlineLevel="1" x14ac:dyDescent="0.4">
      <c r="A54" s="92"/>
      <c r="B54" s="100"/>
      <c r="C54" s="103"/>
      <c r="D54" s="17"/>
      <c r="E54" s="17"/>
      <c r="F54" s="16"/>
      <c r="G54" s="16"/>
      <c r="H54" s="102"/>
      <c r="I54" s="102"/>
      <c r="J54" s="102"/>
      <c r="K54" s="102"/>
      <c r="L54" s="102"/>
      <c r="M54" s="16"/>
      <c r="N54" s="103"/>
    </row>
    <row r="55" spans="1:14" hidden="1" outlineLevel="1" x14ac:dyDescent="0.4">
      <c r="A55" s="92"/>
      <c r="B55" s="104">
        <v>3</v>
      </c>
      <c r="C55" s="103" t="s">
        <v>27</v>
      </c>
      <c r="D55" s="17"/>
      <c r="E55" s="17"/>
      <c r="F55" s="16"/>
      <c r="G55" s="16"/>
      <c r="H55" s="102"/>
      <c r="I55" s="102"/>
      <c r="J55" s="102"/>
      <c r="K55" s="102"/>
      <c r="L55" s="102"/>
      <c r="M55" s="16"/>
      <c r="N55" s="103"/>
    </row>
    <row r="56" spans="1:14" hidden="1" outlineLevel="1" x14ac:dyDescent="0.4">
      <c r="A56" s="92"/>
      <c r="B56" s="100" t="s">
        <v>6</v>
      </c>
      <c r="C56" s="103" t="s">
        <v>54</v>
      </c>
      <c r="D56" s="17"/>
      <c r="E56" s="17"/>
      <c r="F56" s="16"/>
      <c r="G56" s="16"/>
      <c r="H56" s="102"/>
      <c r="I56" s="102"/>
      <c r="J56" s="102"/>
      <c r="K56" s="102"/>
      <c r="L56" s="102"/>
      <c r="M56" s="16"/>
      <c r="N56" s="103"/>
    </row>
    <row r="57" spans="1:14" hidden="1" outlineLevel="1" x14ac:dyDescent="0.4">
      <c r="A57" s="92"/>
      <c r="B57" s="100" t="s">
        <v>6</v>
      </c>
      <c r="C57" s="103" t="s">
        <v>56</v>
      </c>
      <c r="D57" s="17"/>
      <c r="E57" s="17"/>
      <c r="F57" s="16"/>
      <c r="G57" s="16"/>
      <c r="H57" s="102"/>
      <c r="I57" s="102"/>
      <c r="J57" s="102"/>
      <c r="K57" s="102"/>
      <c r="L57" s="102"/>
      <c r="M57" s="16"/>
      <c r="N57" s="103"/>
    </row>
    <row r="58" spans="1:14" hidden="1" outlineLevel="1" x14ac:dyDescent="0.4">
      <c r="A58" s="92"/>
      <c r="B58" s="100" t="s">
        <v>6</v>
      </c>
      <c r="C58" s="103" t="s">
        <v>57</v>
      </c>
      <c r="D58" s="17"/>
      <c r="E58" s="17"/>
      <c r="F58" s="16"/>
      <c r="G58" s="16"/>
      <c r="H58" s="102"/>
      <c r="I58" s="102"/>
      <c r="J58" s="102"/>
      <c r="K58" s="102"/>
      <c r="L58" s="102"/>
      <c r="M58" s="16"/>
      <c r="N58" s="103"/>
    </row>
    <row r="59" spans="1:14" hidden="1" outlineLevel="1" x14ac:dyDescent="0.4">
      <c r="A59" s="92"/>
      <c r="B59" s="104"/>
      <c r="C59" s="103"/>
      <c r="D59" s="17"/>
      <c r="E59" s="17"/>
      <c r="F59" s="16"/>
      <c r="G59" s="16"/>
      <c r="H59" s="102"/>
      <c r="I59" s="102"/>
      <c r="J59" s="102"/>
      <c r="K59" s="102"/>
      <c r="L59" s="102"/>
      <c r="M59" s="16"/>
      <c r="N59" s="103"/>
    </row>
    <row r="60" spans="1:14" s="2" customFormat="1" collapsed="1" x14ac:dyDescent="0.4">
      <c r="A60" s="3"/>
      <c r="B60" s="48" t="s">
        <v>99</v>
      </c>
      <c r="C60" s="49" t="s">
        <v>46</v>
      </c>
      <c r="D60" s="51">
        <f>SUM(D61:D64)</f>
        <v>0.15</v>
      </c>
      <c r="E60" s="51"/>
      <c r="F60" s="54"/>
      <c r="G60" s="54"/>
      <c r="H60" s="59"/>
      <c r="I60" s="59"/>
      <c r="J60" s="59"/>
      <c r="K60" s="59"/>
      <c r="L60" s="59"/>
      <c r="M60" s="54">
        <f>SUM(M61:M64)</f>
        <v>8</v>
      </c>
      <c r="N60" s="49"/>
    </row>
    <row r="61" spans="1:14" x14ac:dyDescent="0.4">
      <c r="A61" s="99" t="s">
        <v>118</v>
      </c>
      <c r="B61" s="100" t="s">
        <v>6</v>
      </c>
      <c r="C61" s="101" t="str">
        <f>VLOOKUP($A61,[2]PERTANYAAN!$A$18:$E$71,3,0)</f>
        <v>Antusiasme / Keinginan bergabung</v>
      </c>
      <c r="D61" s="46">
        <f>VLOOKUP($A61,[2]PERTANYAAN!$A$18:$E$71,5,0)</f>
        <v>7.4999999999999997E-2</v>
      </c>
      <c r="E61" s="17"/>
      <c r="F61" s="16"/>
      <c r="G61" s="16"/>
      <c r="H61" s="102"/>
      <c r="I61" s="102"/>
      <c r="J61" s="102" t="s">
        <v>16</v>
      </c>
      <c r="K61" s="102"/>
      <c r="L61" s="102"/>
      <c r="M61" s="16">
        <f t="shared" ref="M61:M63" si="2">IF(H61="V",$D61*H$15,IF(I61="V",$D61*I$15,IF(J61="V",$D61*J$15,IF(K61="V",$D61*K$15,IF(L61="V",$D61*L$15,0)))))*100</f>
        <v>4.5</v>
      </c>
      <c r="N61" s="103"/>
    </row>
    <row r="62" spans="1:14" x14ac:dyDescent="0.4">
      <c r="A62" s="99" t="s">
        <v>119</v>
      </c>
      <c r="B62" s="100" t="s">
        <v>6</v>
      </c>
      <c r="C62" s="101" t="str">
        <f>VLOOKUP($A62,[2]PERTANYAAN!$A$18:$E$71,3,0)</f>
        <v>Inisiatif</v>
      </c>
      <c r="D62" s="46">
        <f>VLOOKUP($A62,[2]PERTANYAAN!$A$18:$E$71,5,0)</f>
        <v>0.05</v>
      </c>
      <c r="E62" s="17"/>
      <c r="F62" s="16"/>
      <c r="G62" s="16"/>
      <c r="H62" s="102"/>
      <c r="I62" s="102" t="s">
        <v>16</v>
      </c>
      <c r="J62" s="102"/>
      <c r="K62" s="102"/>
      <c r="L62" s="102"/>
      <c r="M62" s="16">
        <f t="shared" si="2"/>
        <v>2.0000000000000004</v>
      </c>
      <c r="N62" s="103"/>
    </row>
    <row r="63" spans="1:14" x14ac:dyDescent="0.4">
      <c r="A63" s="99" t="s">
        <v>120</v>
      </c>
      <c r="B63" s="100" t="s">
        <v>6</v>
      </c>
      <c r="C63" s="101" t="str">
        <f>VLOOKUP($A63,[2]PERTANYAAN!$A$18:$E$71,3,0)</f>
        <v>Adaptif</v>
      </c>
      <c r="D63" s="46">
        <f>VLOOKUP($A63,[2]PERTANYAAN!$A$18:$E$71,5,0)</f>
        <v>2.5000000000000001E-2</v>
      </c>
      <c r="E63" s="17"/>
      <c r="F63" s="16"/>
      <c r="G63" s="16"/>
      <c r="H63" s="102"/>
      <c r="I63" s="102"/>
      <c r="J63" s="102" t="s">
        <v>16</v>
      </c>
      <c r="K63" s="102"/>
      <c r="L63" s="102"/>
      <c r="M63" s="16">
        <f t="shared" si="2"/>
        <v>1.5</v>
      </c>
      <c r="N63" s="103"/>
    </row>
    <row r="64" spans="1:14" x14ac:dyDescent="0.4">
      <c r="A64" s="92"/>
      <c r="B64" s="104"/>
      <c r="C64" s="103"/>
      <c r="D64" s="17"/>
      <c r="E64" s="17"/>
      <c r="F64" s="16"/>
      <c r="G64" s="16"/>
      <c r="H64" s="102"/>
      <c r="I64" s="102"/>
      <c r="J64" s="102"/>
      <c r="K64" s="102"/>
      <c r="L64" s="102"/>
      <c r="M64" s="16"/>
      <c r="N64" s="103"/>
    </row>
    <row r="65" spans="1:14" s="2" customFormat="1" x14ac:dyDescent="0.4">
      <c r="A65" s="3"/>
      <c r="B65" s="48" t="s">
        <v>100</v>
      </c>
      <c r="C65" s="49" t="s">
        <v>48</v>
      </c>
      <c r="D65" s="51">
        <f>SUM(D66:D68)</f>
        <v>0.05</v>
      </c>
      <c r="E65" s="51"/>
      <c r="F65" s="54"/>
      <c r="G65" s="54"/>
      <c r="H65" s="59"/>
      <c r="I65" s="59"/>
      <c r="J65" s="59"/>
      <c r="K65" s="59"/>
      <c r="L65" s="59"/>
      <c r="M65" s="54">
        <f>SUM(M66:M68)</f>
        <v>2</v>
      </c>
      <c r="N65" s="49"/>
    </row>
    <row r="66" spans="1:14" x14ac:dyDescent="0.4">
      <c r="A66" s="99" t="s">
        <v>121</v>
      </c>
      <c r="B66" s="100" t="s">
        <v>6</v>
      </c>
      <c r="C66" s="101" t="str">
        <f>VLOOKUP($A66,[2]PERTANYAAN!$A$18:$E$71,3,0)</f>
        <v>Ekspektasi Salary (Mengukur Budget &amp; Skill)</v>
      </c>
      <c r="D66" s="46">
        <f>VLOOKUP($A66,[2]PERTANYAAN!$A$18:$E$71,5,0)</f>
        <v>0.04</v>
      </c>
      <c r="E66" s="17"/>
      <c r="F66" s="16"/>
      <c r="G66" s="16"/>
      <c r="H66" s="102"/>
      <c r="I66" s="102" t="s">
        <v>16</v>
      </c>
      <c r="J66" s="102"/>
      <c r="K66" s="102"/>
      <c r="L66" s="102"/>
      <c r="M66" s="16">
        <f t="shared" ref="M66:M67" si="3">IF(H66="V",$D66*H$15,IF(I66="V",$D66*I$15,IF(J66="V",$D66*J$15,IF(K66="V",$D66*K$15,IF(L66="V",$D66*L$15,0)))))*100</f>
        <v>1.6</v>
      </c>
      <c r="N66" s="103"/>
    </row>
    <row r="67" spans="1:14" x14ac:dyDescent="0.4">
      <c r="A67" s="99" t="s">
        <v>122</v>
      </c>
      <c r="B67" s="100" t="s">
        <v>6</v>
      </c>
      <c r="C67" s="101" t="str">
        <f>VLOOKUP($A67,[2]PERTANYAAN!$A$18:$E$71,3,0)</f>
        <v>Tujuan Karir</v>
      </c>
      <c r="D67" s="46">
        <f>VLOOKUP($A67,[2]PERTANYAAN!$A$18:$E$71,5,0)</f>
        <v>0.01</v>
      </c>
      <c r="E67" s="17"/>
      <c r="F67" s="16"/>
      <c r="G67" s="16"/>
      <c r="H67" s="102"/>
      <c r="I67" s="102" t="s">
        <v>16</v>
      </c>
      <c r="J67" s="102"/>
      <c r="K67" s="102"/>
      <c r="L67" s="102"/>
      <c r="M67" s="16">
        <f t="shared" si="3"/>
        <v>0.4</v>
      </c>
      <c r="N67" s="103"/>
    </row>
    <row r="68" spans="1:14" x14ac:dyDescent="0.4">
      <c r="A68" s="99"/>
      <c r="B68" s="104"/>
      <c r="C68" s="103"/>
      <c r="D68" s="17"/>
      <c r="E68" s="17"/>
      <c r="F68" s="16"/>
      <c r="G68" s="16"/>
      <c r="H68" s="102"/>
      <c r="I68" s="102"/>
      <c r="J68" s="102"/>
      <c r="K68" s="102"/>
      <c r="L68" s="102"/>
      <c r="M68" s="16"/>
      <c r="N68" s="103"/>
    </row>
    <row r="69" spans="1:14" s="2" customFormat="1" x14ac:dyDescent="0.4">
      <c r="A69" s="3"/>
      <c r="B69" s="48" t="s">
        <v>101</v>
      </c>
      <c r="C69" s="49" t="s">
        <v>134</v>
      </c>
      <c r="D69" s="51">
        <f>SUM(D70:D70)</f>
        <v>0.05</v>
      </c>
      <c r="E69" s="51"/>
      <c r="F69" s="54"/>
      <c r="G69" s="54"/>
      <c r="H69" s="59"/>
      <c r="I69" s="59"/>
      <c r="J69" s="59"/>
      <c r="K69" s="59"/>
      <c r="L69" s="59"/>
      <c r="M69" s="54">
        <f>SUM(M70)</f>
        <v>4.0000000000000009</v>
      </c>
      <c r="N69" s="49"/>
    </row>
    <row r="70" spans="1:14" x14ac:dyDescent="0.4">
      <c r="A70" s="99" t="s">
        <v>123</v>
      </c>
      <c r="B70" s="100" t="s">
        <v>6</v>
      </c>
      <c r="C70" s="101" t="str">
        <f>VLOOKUP($A70,[2]PERTANYAAN!$A$18:$E$71,3,0)</f>
        <v>Pertanyaan Spesifik User</v>
      </c>
      <c r="D70" s="46">
        <f>VLOOKUP($A70,[2]PERTANYAAN!$A$18:$E$71,5,0)</f>
        <v>0.05</v>
      </c>
      <c r="E70" s="17"/>
      <c r="F70" s="16"/>
      <c r="G70" s="16"/>
      <c r="H70" s="102"/>
      <c r="I70" s="102"/>
      <c r="J70" s="102"/>
      <c r="K70" s="102" t="s">
        <v>16</v>
      </c>
      <c r="L70" s="102"/>
      <c r="M70" s="16">
        <f t="shared" ref="M70" si="4">IF(H70="V",$D70*H$15,IF(I70="V",$D70*I$15,IF(J70="V",$D70*J$15,IF(K70="V",$D70*K$15,IF(L70="V",$D70*L$15,0)))))*100</f>
        <v>4.0000000000000009</v>
      </c>
      <c r="N70" s="103"/>
    </row>
    <row r="71" spans="1:14" x14ac:dyDescent="0.4">
      <c r="B71" s="105"/>
      <c r="C71" s="106"/>
      <c r="D71" s="22"/>
      <c r="E71" s="22"/>
      <c r="F71" s="21"/>
      <c r="G71" s="21"/>
      <c r="H71" s="107"/>
      <c r="I71" s="107"/>
      <c r="J71" s="107"/>
      <c r="K71" s="107"/>
      <c r="L71" s="107"/>
      <c r="M71" s="21"/>
      <c r="N71" s="106"/>
    </row>
    <row r="73" spans="1:14" x14ac:dyDescent="0.4">
      <c r="H73" s="26" t="s">
        <v>61</v>
      </c>
    </row>
    <row r="74" spans="1:14" x14ac:dyDescent="0.4">
      <c r="H74" s="94" t="s">
        <v>39</v>
      </c>
      <c r="I74" s="94" t="s">
        <v>29</v>
      </c>
      <c r="J74" s="95" t="s">
        <v>69</v>
      </c>
    </row>
    <row r="75" spans="1:14" x14ac:dyDescent="0.4">
      <c r="H75" s="94" t="s">
        <v>40</v>
      </c>
      <c r="I75" s="94" t="s">
        <v>29</v>
      </c>
      <c r="J75" s="95" t="s">
        <v>70</v>
      </c>
    </row>
    <row r="76" spans="1:14" x14ac:dyDescent="0.4">
      <c r="H76" s="94" t="s">
        <v>41</v>
      </c>
      <c r="I76" s="94" t="s">
        <v>29</v>
      </c>
      <c r="J76" s="95" t="s">
        <v>71</v>
      </c>
    </row>
    <row r="77" spans="1:14" x14ac:dyDescent="0.4">
      <c r="H77" s="94" t="s">
        <v>42</v>
      </c>
      <c r="I77" s="94" t="s">
        <v>29</v>
      </c>
      <c r="J77" s="95" t="s">
        <v>72</v>
      </c>
    </row>
    <row r="78" spans="1:14" x14ac:dyDescent="0.4">
      <c r="H78" s="94" t="s">
        <v>43</v>
      </c>
      <c r="I78" s="94" t="s">
        <v>29</v>
      </c>
      <c r="J78" s="95" t="s">
        <v>73</v>
      </c>
    </row>
  </sheetData>
  <mergeCells count="8"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CD3D-8347-40FF-A670-6B56BBDC70A8}">
  <sheetPr>
    <tabColor rgb="FFFFC000"/>
  </sheetPr>
  <dimension ref="A1:N78"/>
  <sheetViews>
    <sheetView zoomScaleNormal="100" workbookViewId="0">
      <pane xSplit="1" ySplit="14" topLeftCell="B15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C13" sqref="C13:C14"/>
    </sheetView>
  </sheetViews>
  <sheetFormatPr defaultColWidth="8.84375" defaultRowHeight="14.6" outlineLevelRow="1" x14ac:dyDescent="0.4"/>
  <cols>
    <col min="1" max="1" width="17.69140625" style="93" customWidth="1"/>
    <col min="2" max="2" width="4.3046875" style="92" bestFit="1" customWidth="1"/>
    <col min="3" max="3" width="40.15234375" style="93" bestFit="1" customWidth="1"/>
    <col min="4" max="4" width="8.84375" style="5"/>
    <col min="5" max="5" width="1.69140625" style="5" customWidth="1"/>
    <col min="6" max="7" width="8.84375" style="4"/>
    <col min="8" max="12" width="8.84375" style="94"/>
    <col min="13" max="13" width="8.84375" style="4"/>
    <col min="14" max="14" width="16.84375" style="93" customWidth="1"/>
    <col min="15" max="16384" width="8.84375" style="93"/>
  </cols>
  <sheetData>
    <row r="1" spans="1:14" x14ac:dyDescent="0.4">
      <c r="A1" s="2" t="s">
        <v>125</v>
      </c>
    </row>
    <row r="2" spans="1:14" x14ac:dyDescent="0.4">
      <c r="A2" s="2" t="s">
        <v>0</v>
      </c>
    </row>
    <row r="5" spans="1:14" x14ac:dyDescent="0.4">
      <c r="A5" s="2" t="s">
        <v>1</v>
      </c>
      <c r="B5" s="92" t="s">
        <v>29</v>
      </c>
      <c r="C5" s="2" t="s">
        <v>162</v>
      </c>
    </row>
    <row r="6" spans="1:14" x14ac:dyDescent="0.4">
      <c r="A6" s="2" t="s">
        <v>20</v>
      </c>
      <c r="B6" s="92" t="s">
        <v>29</v>
      </c>
      <c r="C6" s="93" t="s">
        <v>31</v>
      </c>
    </row>
    <row r="7" spans="1:14" x14ac:dyDescent="0.4">
      <c r="A7" s="2" t="s">
        <v>32</v>
      </c>
      <c r="B7" s="92" t="s">
        <v>29</v>
      </c>
      <c r="C7" s="93" t="s">
        <v>33</v>
      </c>
    </row>
    <row r="8" spans="1:14" x14ac:dyDescent="0.4">
      <c r="A8" s="2" t="s">
        <v>34</v>
      </c>
      <c r="B8" s="92" t="s">
        <v>29</v>
      </c>
      <c r="C8" s="93" t="s">
        <v>35</v>
      </c>
    </row>
    <row r="9" spans="1:14" x14ac:dyDescent="0.4">
      <c r="A9" s="2" t="s">
        <v>28</v>
      </c>
      <c r="B9" s="92" t="s">
        <v>29</v>
      </c>
      <c r="C9" s="93" t="s">
        <v>83</v>
      </c>
      <c r="F9" s="4" t="s">
        <v>174</v>
      </c>
    </row>
    <row r="10" spans="1:14" x14ac:dyDescent="0.4">
      <c r="A10" s="2" t="s">
        <v>38</v>
      </c>
      <c r="B10" s="92" t="s">
        <v>29</v>
      </c>
      <c r="C10" s="2" t="s">
        <v>88</v>
      </c>
      <c r="D10" s="6" t="s">
        <v>92</v>
      </c>
    </row>
    <row r="11" spans="1:14" x14ac:dyDescent="0.4">
      <c r="A11" s="2" t="s">
        <v>67</v>
      </c>
      <c r="B11" s="92" t="s">
        <v>29</v>
      </c>
      <c r="C11" s="24">
        <f>M16</f>
        <v>81.900000000000006</v>
      </c>
    </row>
    <row r="13" spans="1:14" s="2" customFormat="1" x14ac:dyDescent="0.4">
      <c r="A13" s="67" t="s">
        <v>124</v>
      </c>
      <c r="B13" s="68" t="s">
        <v>2</v>
      </c>
      <c r="C13" s="68" t="s">
        <v>3</v>
      </c>
      <c r="D13" s="70" t="s">
        <v>19</v>
      </c>
      <c r="E13" s="42"/>
      <c r="F13" s="65" t="s">
        <v>18</v>
      </c>
      <c r="G13" s="65"/>
      <c r="H13" s="68" t="s">
        <v>37</v>
      </c>
      <c r="I13" s="68"/>
      <c r="J13" s="68"/>
      <c r="K13" s="68"/>
      <c r="L13" s="68"/>
      <c r="M13" s="65" t="s">
        <v>17</v>
      </c>
      <c r="N13" s="66" t="s">
        <v>61</v>
      </c>
    </row>
    <row r="14" spans="1:14" s="2" customFormat="1" x14ac:dyDescent="0.4">
      <c r="A14" s="67"/>
      <c r="B14" s="68"/>
      <c r="C14" s="96"/>
      <c r="D14" s="71"/>
      <c r="E14" s="44"/>
      <c r="F14" s="43" t="s">
        <v>14</v>
      </c>
      <c r="G14" s="43" t="s">
        <v>15</v>
      </c>
      <c r="H14" s="41" t="s">
        <v>39</v>
      </c>
      <c r="I14" s="41" t="s">
        <v>40</v>
      </c>
      <c r="J14" s="41" t="s">
        <v>41</v>
      </c>
      <c r="K14" s="41" t="s">
        <v>42</v>
      </c>
      <c r="L14" s="41" t="s">
        <v>43</v>
      </c>
      <c r="M14" s="65"/>
      <c r="N14" s="66"/>
    </row>
    <row r="15" spans="1:14" s="2" customFormat="1" x14ac:dyDescent="0.4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4">
      <c r="A16" s="3"/>
      <c r="B16" s="39"/>
      <c r="C16" s="63" t="s">
        <v>65</v>
      </c>
      <c r="D16" s="39"/>
      <c r="E16" s="39"/>
      <c r="F16" s="61"/>
      <c r="G16" s="61"/>
      <c r="H16" s="39"/>
      <c r="I16" s="39"/>
      <c r="J16" s="39"/>
      <c r="K16" s="39"/>
      <c r="L16" s="39"/>
      <c r="M16" s="40">
        <f>M17+M21+M27+M43+M60+M65+M69</f>
        <v>81.900000000000006</v>
      </c>
      <c r="N16" s="35"/>
    </row>
    <row r="17" spans="1:14" x14ac:dyDescent="0.4">
      <c r="B17" s="48" t="s">
        <v>66</v>
      </c>
      <c r="C17" s="49" t="s">
        <v>8</v>
      </c>
      <c r="D17" s="51">
        <f>SUM(D18:D19)</f>
        <v>0.1</v>
      </c>
      <c r="E17" s="51"/>
      <c r="F17" s="54"/>
      <c r="G17" s="54"/>
      <c r="H17" s="97"/>
      <c r="I17" s="97"/>
      <c r="J17" s="97"/>
      <c r="K17" s="97"/>
      <c r="L17" s="97"/>
      <c r="M17" s="54">
        <f>SUM(M18:M20)</f>
        <v>4</v>
      </c>
      <c r="N17" s="98"/>
    </row>
    <row r="18" spans="1:14" x14ac:dyDescent="0.4">
      <c r="A18" s="99" t="s">
        <v>102</v>
      </c>
      <c r="B18" s="100">
        <v>1</v>
      </c>
      <c r="C18" s="101" t="str">
        <f>VLOOKUP($A18,[2]PERTANYAAN!$A$18:$E$71,3,0)</f>
        <v>Pengalaman di dalam Daniswara Group</v>
      </c>
      <c r="D18" s="46">
        <f>VLOOKUP($A18,[2]PERTANYAAN!$A$18:$E$71,5,0)</f>
        <v>0.06</v>
      </c>
      <c r="E18" s="17"/>
      <c r="F18" s="16"/>
      <c r="G18" s="16"/>
      <c r="H18" s="102"/>
      <c r="I18" s="102"/>
      <c r="J18" s="102"/>
      <c r="K18" s="102"/>
      <c r="L18" s="102"/>
      <c r="M18" s="16">
        <f>IF(F18="V",D18*100,0)</f>
        <v>0</v>
      </c>
      <c r="N18" s="103"/>
    </row>
    <row r="19" spans="1:14" x14ac:dyDescent="0.4">
      <c r="A19" s="99" t="s">
        <v>103</v>
      </c>
      <c r="B19" s="100">
        <f>B18+1</f>
        <v>2</v>
      </c>
      <c r="C19" s="101" t="str">
        <f>VLOOKUP($A19,[2]PERTANYAAN!$A$18:$E$71,3,0)</f>
        <v>Pengalaman di luar Daniswara Group</v>
      </c>
      <c r="D19" s="46">
        <f>VLOOKUP($A19,[2]PERTANYAAN!$A$18:$E$71,5,0)</f>
        <v>0.04</v>
      </c>
      <c r="E19" s="17"/>
      <c r="F19" s="16" t="s">
        <v>16</v>
      </c>
      <c r="G19" s="16"/>
      <c r="H19" s="102"/>
      <c r="I19" s="102"/>
      <c r="J19" s="102"/>
      <c r="K19" s="102"/>
      <c r="L19" s="102"/>
      <c r="M19" s="16">
        <f>IF(F19="V",D19*100,0)</f>
        <v>4</v>
      </c>
      <c r="N19" s="103"/>
    </row>
    <row r="20" spans="1:14" x14ac:dyDescent="0.4">
      <c r="A20" s="92"/>
      <c r="B20" s="104"/>
      <c r="C20" s="103"/>
      <c r="D20" s="17"/>
      <c r="E20" s="17"/>
      <c r="F20" s="16"/>
      <c r="G20" s="16"/>
      <c r="H20" s="102"/>
      <c r="I20" s="102"/>
      <c r="J20" s="102"/>
      <c r="K20" s="102"/>
      <c r="L20" s="102"/>
      <c r="M20" s="16"/>
      <c r="N20" s="103"/>
    </row>
    <row r="21" spans="1:14" x14ac:dyDescent="0.4">
      <c r="A21" s="92"/>
      <c r="B21" s="48" t="s">
        <v>42</v>
      </c>
      <c r="C21" s="49" t="s">
        <v>9</v>
      </c>
      <c r="D21" s="51">
        <f>SUM(D22:D25)</f>
        <v>0.05</v>
      </c>
      <c r="E21" s="51"/>
      <c r="F21" s="54"/>
      <c r="G21" s="54"/>
      <c r="H21" s="97"/>
      <c r="I21" s="97"/>
      <c r="J21" s="97"/>
      <c r="K21" s="97"/>
      <c r="L21" s="97"/>
      <c r="M21" s="54">
        <f>SUM(M22:M25)</f>
        <v>4</v>
      </c>
      <c r="N21" s="98"/>
    </row>
    <row r="22" spans="1:14" x14ac:dyDescent="0.4">
      <c r="A22" s="99" t="s">
        <v>104</v>
      </c>
      <c r="B22" s="100">
        <v>1</v>
      </c>
      <c r="C22" s="101" t="str">
        <f>VLOOKUP($A22,[2]PERTANYAAN!$A$18:$E$71,3,0)</f>
        <v>Identitas (KTP &amp; KK)</v>
      </c>
      <c r="D22" s="46">
        <f>VLOOKUP($A22,[2]PERTANYAAN!$A$18:$E$71,5,0)</f>
        <v>0.01</v>
      </c>
      <c r="E22" s="17"/>
      <c r="F22" s="16" t="s">
        <v>16</v>
      </c>
      <c r="G22" s="16"/>
      <c r="H22" s="102"/>
      <c r="I22" s="102"/>
      <c r="J22" s="102"/>
      <c r="K22" s="102"/>
      <c r="L22" s="102"/>
      <c r="M22" s="16">
        <f>IF(F22="V",D22*100,0)</f>
        <v>1</v>
      </c>
      <c r="N22" s="103"/>
    </row>
    <row r="23" spans="1:14" x14ac:dyDescent="0.4">
      <c r="A23" s="99" t="s">
        <v>105</v>
      </c>
      <c r="B23" s="100">
        <f>B22+1</f>
        <v>2</v>
      </c>
      <c r="C23" s="101" t="str">
        <f>VLOOKUP($A23,[2]PERTANYAAN!$A$18:$E$71,3,0)</f>
        <v>SIM A (utk jabatan di Divisi Operasi)</v>
      </c>
      <c r="D23" s="46">
        <f>VLOOKUP($A23,[2]PERTANYAAN!$A$18:$E$71,5,0)</f>
        <v>0.02</v>
      </c>
      <c r="E23" s="17"/>
      <c r="F23" s="16" t="s">
        <v>16</v>
      </c>
      <c r="G23" s="16"/>
      <c r="H23" s="102"/>
      <c r="I23" s="102"/>
      <c r="J23" s="102"/>
      <c r="K23" s="102"/>
      <c r="L23" s="102"/>
      <c r="M23" s="16">
        <f>IF(F23="V",D23*100,0)</f>
        <v>2</v>
      </c>
      <c r="N23" s="103"/>
    </row>
    <row r="24" spans="1:14" x14ac:dyDescent="0.4">
      <c r="A24" s="99" t="s">
        <v>106</v>
      </c>
      <c r="B24" s="100">
        <f t="shared" ref="B24:B25" si="0">B23+1</f>
        <v>3</v>
      </c>
      <c r="C24" s="101" t="str">
        <f>VLOOKUP($A24,[2]PERTANYAAN!$A$18:$E$71,3,0)</f>
        <v>SIM C</v>
      </c>
      <c r="D24" s="46">
        <f>VLOOKUP($A24,[2]PERTANYAAN!$A$18:$E$71,5,0)</f>
        <v>0.01</v>
      </c>
      <c r="E24" s="17"/>
      <c r="F24" s="16"/>
      <c r="G24" s="16" t="s">
        <v>16</v>
      </c>
      <c r="H24" s="102"/>
      <c r="I24" s="102"/>
      <c r="J24" s="102"/>
      <c r="K24" s="102"/>
      <c r="L24" s="102"/>
      <c r="M24" s="16">
        <f>IF(F24="V",D24*100,0)</f>
        <v>0</v>
      </c>
      <c r="N24" s="103"/>
    </row>
    <row r="25" spans="1:14" x14ac:dyDescent="0.4">
      <c r="A25" s="99" t="s">
        <v>107</v>
      </c>
      <c r="B25" s="100">
        <f t="shared" si="0"/>
        <v>4</v>
      </c>
      <c r="C25" s="101" t="str">
        <f>VLOOKUP($A25,[2]PERTANYAAN!$A$18:$E$71,3,0)</f>
        <v>NPWP</v>
      </c>
      <c r="D25" s="46">
        <f>VLOOKUP($A25,[2]PERTANYAAN!$A$18:$E$71,5,0)</f>
        <v>0.01</v>
      </c>
      <c r="E25" s="17"/>
      <c r="F25" s="16" t="s">
        <v>16</v>
      </c>
      <c r="G25" s="16"/>
      <c r="H25" s="102"/>
      <c r="I25" s="102"/>
      <c r="J25" s="102"/>
      <c r="K25" s="102"/>
      <c r="L25" s="102"/>
      <c r="M25" s="16">
        <f>IF(F25="V",D25*100,0)</f>
        <v>1</v>
      </c>
      <c r="N25" s="103"/>
    </row>
    <row r="26" spans="1:14" x14ac:dyDescent="0.4">
      <c r="A26" s="92"/>
      <c r="B26" s="104"/>
      <c r="C26" s="103"/>
      <c r="D26" s="17"/>
      <c r="E26" s="17"/>
      <c r="F26" s="16"/>
      <c r="G26" s="16"/>
      <c r="H26" s="102"/>
      <c r="I26" s="102"/>
      <c r="J26" s="102"/>
      <c r="K26" s="102"/>
      <c r="L26" s="102"/>
      <c r="M26" s="16"/>
      <c r="N26" s="103"/>
    </row>
    <row r="27" spans="1:14" x14ac:dyDescent="0.4">
      <c r="A27" s="92"/>
      <c r="B27" s="48" t="s">
        <v>97</v>
      </c>
      <c r="C27" s="49" t="s">
        <v>21</v>
      </c>
      <c r="D27" s="51">
        <f>D28</f>
        <v>0.35000000000000003</v>
      </c>
      <c r="E27" s="57"/>
      <c r="F27" s="60"/>
      <c r="G27" s="60"/>
      <c r="H27" s="97"/>
      <c r="I27" s="97"/>
      <c r="J27" s="97"/>
      <c r="K27" s="97"/>
      <c r="L27" s="97"/>
      <c r="M27" s="54">
        <f>M28</f>
        <v>33</v>
      </c>
      <c r="N27" s="98"/>
    </row>
    <row r="28" spans="1:14" x14ac:dyDescent="0.4">
      <c r="A28" s="99" t="s">
        <v>108</v>
      </c>
      <c r="B28" s="100">
        <v>1</v>
      </c>
      <c r="C28" s="101" t="str">
        <f>VLOOKUP($A28,[2]PERTANYAAN!$A$18:$E$71,3,0)</f>
        <v>Operasi / Logistik</v>
      </c>
      <c r="D28" s="46">
        <f>VLOOKUP($A28,[2]PERTANYAAN!$A$18:$E$71,5,0)</f>
        <v>0.35000000000000003</v>
      </c>
      <c r="E28" s="17"/>
      <c r="F28" s="16"/>
      <c r="G28" s="16"/>
      <c r="H28" s="102"/>
      <c r="I28" s="102"/>
      <c r="J28" s="102"/>
      <c r="K28" s="102"/>
      <c r="L28" s="102"/>
      <c r="M28" s="16">
        <f>SUM(M29:M33)</f>
        <v>33</v>
      </c>
      <c r="N28" s="103"/>
    </row>
    <row r="29" spans="1:14" x14ac:dyDescent="0.4">
      <c r="A29" s="99" t="s">
        <v>109</v>
      </c>
      <c r="B29" s="100" t="s">
        <v>6</v>
      </c>
      <c r="C29" s="101" t="str">
        <f>VLOOKUP($A29,[2]PERTANYAAN!$A$18:$E$71,3,0)</f>
        <v>Skill Mengemudi</v>
      </c>
      <c r="D29" s="46">
        <f>VLOOKUP($A29,[2]PERTANYAAN!$A$18:$E$71,5,0)</f>
        <v>0.15</v>
      </c>
      <c r="E29" s="17"/>
      <c r="F29" s="16"/>
      <c r="G29" s="16"/>
      <c r="H29" s="102"/>
      <c r="I29" s="102"/>
      <c r="J29" s="102"/>
      <c r="K29" s="102"/>
      <c r="L29" s="102" t="s">
        <v>16</v>
      </c>
      <c r="M29" s="16">
        <f>IF(H29="V",$D29*H$15,IF(I29="V",$D29*I$15,IF(J29="V",$D29*J$15,IF(K29="V",$D29*K$15,IF(L29="V",$D29*L$15,0)))))*100</f>
        <v>15</v>
      </c>
      <c r="N29" s="103"/>
    </row>
    <row r="30" spans="1:14" x14ac:dyDescent="0.4">
      <c r="A30" s="99" t="s">
        <v>110</v>
      </c>
      <c r="B30" s="100" t="s">
        <v>6</v>
      </c>
      <c r="C30" s="101" t="str">
        <f>VLOOKUP($A30,[2]PERTANYAAN!$A$18:$E$71,3,0)</f>
        <v>Flow Administrasi Logistik</v>
      </c>
      <c r="D30" s="46">
        <f>VLOOKUP($A30,[2]PERTANYAAN!$A$18:$E$71,5,0)</f>
        <v>0.1</v>
      </c>
      <c r="E30" s="17"/>
      <c r="F30" s="16"/>
      <c r="G30" s="16"/>
      <c r="H30" s="102"/>
      <c r="I30" s="102"/>
      <c r="J30" s="102"/>
      <c r="K30" s="102" t="s">
        <v>16</v>
      </c>
      <c r="L30" s="102"/>
      <c r="M30" s="16">
        <f t="shared" ref="M30:M32" si="1">IF(H30="V",$D30*H$15,IF(I30="V",$D30*I$15,IF(J30="V",$D30*J$15,IF(K30="V",$D30*K$15,IF(L30="V",$D30*L$15,0)))))*100</f>
        <v>8.0000000000000018</v>
      </c>
      <c r="N30" s="103"/>
    </row>
    <row r="31" spans="1:14" x14ac:dyDescent="0.4">
      <c r="A31" s="99" t="s">
        <v>111</v>
      </c>
      <c r="B31" s="100" t="s">
        <v>6</v>
      </c>
      <c r="C31" s="101" t="str">
        <f>VLOOKUP($A31,[2]PERTANYAAN!$A$18:$E$71,3,0)</f>
        <v>Pengetahuan terkait logistik</v>
      </c>
      <c r="D31" s="46">
        <f>VLOOKUP($A31,[2]PERTANYAAN!$A$18:$E$71,5,0)</f>
        <v>2.5000000000000001E-2</v>
      </c>
      <c r="E31" s="17"/>
      <c r="F31" s="16"/>
      <c r="G31" s="16"/>
      <c r="H31" s="102"/>
      <c r="I31" s="102"/>
      <c r="J31" s="102"/>
      <c r="K31" s="102"/>
      <c r="L31" s="102" t="s">
        <v>16</v>
      </c>
      <c r="M31" s="16">
        <f t="shared" si="1"/>
        <v>2.5</v>
      </c>
      <c r="N31" s="103"/>
    </row>
    <row r="32" spans="1:14" x14ac:dyDescent="0.4">
      <c r="A32" s="99" t="s">
        <v>112</v>
      </c>
      <c r="B32" s="100" t="s">
        <v>6</v>
      </c>
      <c r="C32" s="101" t="str">
        <f>VLOOKUP($A32,[2]PERTANYAAN!$A$18:$E$71,3,0)</f>
        <v>Pengalaman di Bongkar Muat</v>
      </c>
      <c r="D32" s="46">
        <f>VLOOKUP($A32,[2]PERTANYAAN!$A$18:$E$71,5,0)</f>
        <v>7.4999999999999997E-2</v>
      </c>
      <c r="E32" s="17"/>
      <c r="F32" s="16"/>
      <c r="G32" s="16"/>
      <c r="H32" s="102"/>
      <c r="I32" s="102"/>
      <c r="J32" s="102"/>
      <c r="K32" s="102"/>
      <c r="L32" s="102" t="s">
        <v>16</v>
      </c>
      <c r="M32" s="16">
        <f t="shared" si="1"/>
        <v>7.5</v>
      </c>
      <c r="N32" s="103"/>
    </row>
    <row r="33" spans="1:14" x14ac:dyDescent="0.4">
      <c r="A33" s="92"/>
      <c r="B33" s="100"/>
      <c r="C33" s="103"/>
      <c r="D33" s="17"/>
      <c r="E33" s="17"/>
      <c r="F33" s="16"/>
      <c r="G33" s="16"/>
      <c r="H33" s="102"/>
      <c r="I33" s="102"/>
      <c r="J33" s="102"/>
      <c r="K33" s="102"/>
      <c r="L33" s="102"/>
      <c r="M33" s="16"/>
      <c r="N33" s="103"/>
    </row>
    <row r="34" spans="1:14" hidden="1" outlineLevel="1" x14ac:dyDescent="0.4">
      <c r="A34" s="92"/>
      <c r="B34" s="100">
        <f>B28+1</f>
        <v>2</v>
      </c>
      <c r="C34" s="103" t="s">
        <v>22</v>
      </c>
      <c r="D34" s="17">
        <f>SUM(D35:D37)</f>
        <v>0.35</v>
      </c>
      <c r="E34" s="17"/>
      <c r="F34" s="16"/>
      <c r="G34" s="16"/>
      <c r="H34" s="102"/>
      <c r="I34" s="102"/>
      <c r="J34" s="102"/>
      <c r="K34" s="102"/>
      <c r="L34" s="102"/>
      <c r="M34" s="16"/>
      <c r="N34" s="103"/>
    </row>
    <row r="35" spans="1:14" hidden="1" outlineLevel="1" x14ac:dyDescent="0.4">
      <c r="A35" s="92"/>
      <c r="B35" s="100" t="s">
        <v>6</v>
      </c>
      <c r="C35" s="103" t="s">
        <v>44</v>
      </c>
      <c r="D35" s="17">
        <v>0.15</v>
      </c>
      <c r="E35" s="17"/>
      <c r="F35" s="16"/>
      <c r="G35" s="16"/>
      <c r="H35" s="102"/>
      <c r="I35" s="102"/>
      <c r="J35" s="102"/>
      <c r="K35" s="102"/>
      <c r="L35" s="102"/>
      <c r="M35" s="16"/>
      <c r="N35" s="103"/>
    </row>
    <row r="36" spans="1:14" hidden="1" outlineLevel="1" x14ac:dyDescent="0.4">
      <c r="A36" s="92"/>
      <c r="B36" s="100" t="s">
        <v>6</v>
      </c>
      <c r="C36" s="103" t="s">
        <v>50</v>
      </c>
      <c r="D36" s="17">
        <v>0.2</v>
      </c>
      <c r="E36" s="17"/>
      <c r="F36" s="16"/>
      <c r="G36" s="16"/>
      <c r="H36" s="102"/>
      <c r="I36" s="102"/>
      <c r="J36" s="102"/>
      <c r="K36" s="102"/>
      <c r="L36" s="102"/>
      <c r="M36" s="16"/>
      <c r="N36" s="103"/>
    </row>
    <row r="37" spans="1:14" hidden="1" outlineLevel="1" x14ac:dyDescent="0.4">
      <c r="A37" s="92"/>
      <c r="B37" s="100"/>
      <c r="C37" s="103"/>
      <c r="D37" s="17"/>
      <c r="E37" s="17"/>
      <c r="F37" s="16"/>
      <c r="G37" s="16"/>
      <c r="H37" s="102"/>
      <c r="I37" s="102"/>
      <c r="J37" s="102"/>
      <c r="K37" s="102"/>
      <c r="L37" s="102"/>
      <c r="M37" s="16"/>
      <c r="N37" s="103"/>
    </row>
    <row r="38" spans="1:14" hidden="1" outlineLevel="1" x14ac:dyDescent="0.4">
      <c r="A38" s="92"/>
      <c r="B38" s="104">
        <v>3</v>
      </c>
      <c r="C38" s="103" t="s">
        <v>23</v>
      </c>
      <c r="D38" s="17"/>
      <c r="E38" s="17"/>
      <c r="F38" s="16"/>
      <c r="G38" s="16"/>
      <c r="H38" s="102"/>
      <c r="I38" s="102"/>
      <c r="J38" s="102"/>
      <c r="K38" s="102"/>
      <c r="L38" s="102"/>
      <c r="M38" s="16"/>
      <c r="N38" s="103"/>
    </row>
    <row r="39" spans="1:14" hidden="1" outlineLevel="1" x14ac:dyDescent="0.4">
      <c r="A39" s="92"/>
      <c r="B39" s="100" t="s">
        <v>6</v>
      </c>
      <c r="C39" s="103" t="s">
        <v>52</v>
      </c>
      <c r="D39" s="17"/>
      <c r="E39" s="17"/>
      <c r="F39" s="16"/>
      <c r="G39" s="16"/>
      <c r="H39" s="102"/>
      <c r="I39" s="102"/>
      <c r="J39" s="102"/>
      <c r="K39" s="102"/>
      <c r="L39" s="102"/>
      <c r="M39" s="16"/>
      <c r="N39" s="103"/>
    </row>
    <row r="40" spans="1:14" hidden="1" outlineLevel="1" x14ac:dyDescent="0.4">
      <c r="A40" s="92"/>
      <c r="B40" s="100" t="s">
        <v>6</v>
      </c>
      <c r="C40" s="103" t="s">
        <v>53</v>
      </c>
      <c r="D40" s="17"/>
      <c r="E40" s="17"/>
      <c r="F40" s="16"/>
      <c r="G40" s="16"/>
      <c r="H40" s="102"/>
      <c r="I40" s="102"/>
      <c r="J40" s="102"/>
      <c r="K40" s="102"/>
      <c r="L40" s="102"/>
      <c r="M40" s="16"/>
      <c r="N40" s="103"/>
    </row>
    <row r="41" spans="1:14" hidden="1" outlineLevel="1" x14ac:dyDescent="0.4">
      <c r="A41" s="92"/>
      <c r="B41" s="100" t="s">
        <v>6</v>
      </c>
      <c r="C41" s="103"/>
      <c r="D41" s="17"/>
      <c r="E41" s="17"/>
      <c r="F41" s="16"/>
      <c r="G41" s="16"/>
      <c r="H41" s="102"/>
      <c r="I41" s="102"/>
      <c r="J41" s="102"/>
      <c r="K41" s="102"/>
      <c r="L41" s="102"/>
      <c r="M41" s="16"/>
      <c r="N41" s="103"/>
    </row>
    <row r="42" spans="1:14" hidden="1" outlineLevel="1" x14ac:dyDescent="0.4">
      <c r="A42" s="92"/>
      <c r="B42" s="104"/>
      <c r="C42" s="103"/>
      <c r="D42" s="17"/>
      <c r="E42" s="17"/>
      <c r="F42" s="16"/>
      <c r="G42" s="16"/>
      <c r="H42" s="102"/>
      <c r="I42" s="102"/>
      <c r="J42" s="102"/>
      <c r="K42" s="102"/>
      <c r="L42" s="102"/>
      <c r="M42" s="16"/>
      <c r="N42" s="103"/>
    </row>
    <row r="43" spans="1:14" s="2" customFormat="1" collapsed="1" x14ac:dyDescent="0.4">
      <c r="A43" s="3"/>
      <c r="B43" s="48" t="s">
        <v>98</v>
      </c>
      <c r="C43" s="49" t="s">
        <v>24</v>
      </c>
      <c r="D43" s="51">
        <f>D44</f>
        <v>0.25</v>
      </c>
      <c r="E43" s="51"/>
      <c r="F43" s="54"/>
      <c r="G43" s="54"/>
      <c r="H43" s="59"/>
      <c r="I43" s="59"/>
      <c r="J43" s="59"/>
      <c r="K43" s="59"/>
      <c r="L43" s="59"/>
      <c r="M43" s="54">
        <f>M44</f>
        <v>20.500000000000004</v>
      </c>
      <c r="N43" s="49"/>
    </row>
    <row r="44" spans="1:14" x14ac:dyDescent="0.4">
      <c r="A44" s="92" t="s">
        <v>113</v>
      </c>
      <c r="B44" s="104">
        <v>1</v>
      </c>
      <c r="C44" s="101" t="str">
        <f>VLOOKUP($A44,[2]PERTANYAAN!$A$18:$E$71,3,0)</f>
        <v>Staff</v>
      </c>
      <c r="D44" s="46">
        <f>VLOOKUP($A44,[2]PERTANYAAN!$A$18:$E$71,5,0)</f>
        <v>0.25</v>
      </c>
      <c r="E44" s="17"/>
      <c r="F44" s="16"/>
      <c r="G44" s="16"/>
      <c r="H44" s="102"/>
      <c r="I44" s="102"/>
      <c r="J44" s="102"/>
      <c r="K44" s="102"/>
      <c r="L44" s="102"/>
      <c r="M44" s="16">
        <f>SUM(M45:M48)</f>
        <v>20.500000000000004</v>
      </c>
      <c r="N44" s="103"/>
    </row>
    <row r="45" spans="1:14" x14ac:dyDescent="0.4">
      <c r="A45" s="99" t="s">
        <v>114</v>
      </c>
      <c r="B45" s="100" t="s">
        <v>6</v>
      </c>
      <c r="C45" s="101" t="str">
        <f>VLOOKUP($A45,[2]PERTANYAAN!$A$18:$E$71,3,0)</f>
        <v>Kepemimpinan</v>
      </c>
      <c r="D45" s="46">
        <f>VLOOKUP($A45,[2]PERTANYAAN!$A$18:$E$71,5,0)</f>
        <v>2.5000000000000001E-2</v>
      </c>
      <c r="E45" s="17"/>
      <c r="F45" s="16"/>
      <c r="G45" s="16"/>
      <c r="H45" s="102"/>
      <c r="I45" s="102" t="s">
        <v>16</v>
      </c>
      <c r="J45" s="102"/>
      <c r="K45" s="102"/>
      <c r="L45" s="102"/>
      <c r="M45" s="16">
        <f>IF(H45="V",$D45*H$15,IF(I45="V",$D45*I$15,IF(J45="V",$D45*J$15,IF(K45="V",$D45*K$15,IF(L45="V",$D45*L$15,0)))))*100</f>
        <v>1.0000000000000002</v>
      </c>
      <c r="N45" s="103"/>
    </row>
    <row r="46" spans="1:14" x14ac:dyDescent="0.4">
      <c r="A46" s="99" t="s">
        <v>115</v>
      </c>
      <c r="B46" s="100" t="s">
        <v>6</v>
      </c>
      <c r="C46" s="101" t="str">
        <f>VLOOKUP($A46,[2]PERTANYAAN!$A$18:$E$71,3,0)</f>
        <v>Komunikasi</v>
      </c>
      <c r="D46" s="46">
        <f>VLOOKUP($A46,[2]PERTANYAAN!$A$18:$E$71,5,0)</f>
        <v>0.1</v>
      </c>
      <c r="E46" s="17"/>
      <c r="F46" s="16"/>
      <c r="G46" s="16"/>
      <c r="H46" s="102"/>
      <c r="I46" s="102"/>
      <c r="J46" s="102"/>
      <c r="K46" s="102" t="s">
        <v>16</v>
      </c>
      <c r="L46" s="102"/>
      <c r="M46" s="16">
        <f>IF(H46="V",$D46*H$15,IF(I46="V",$D46*I$15,IF(J46="V",$D46*J$15,IF(K46="V",$D46*K$15,IF(L46="V",$D46*L$15,0)))))*100</f>
        <v>8.0000000000000018</v>
      </c>
      <c r="N46" s="103"/>
    </row>
    <row r="47" spans="1:14" x14ac:dyDescent="0.4">
      <c r="A47" s="99" t="s">
        <v>116</v>
      </c>
      <c r="B47" s="100" t="s">
        <v>6</v>
      </c>
      <c r="C47" s="101" t="str">
        <f>VLOOKUP($A47,[2]PERTANYAAN!$A$18:$E$71,3,0)</f>
        <v>Patuh pada Peraturan / Commitment</v>
      </c>
      <c r="D47" s="46">
        <f>VLOOKUP($A47,[2]PERTANYAAN!$A$18:$E$71,5,0)</f>
        <v>0.05</v>
      </c>
      <c r="E47" s="17"/>
      <c r="F47" s="16"/>
      <c r="G47" s="16"/>
      <c r="H47" s="102"/>
      <c r="I47" s="102"/>
      <c r="J47" s="102"/>
      <c r="K47" s="102" t="s">
        <v>16</v>
      </c>
      <c r="L47" s="102"/>
      <c r="M47" s="16">
        <f>IF(H47="V",$D47*H$15,IF(I47="V",$D47*I$15,IF(J47="V",$D47*J$15,IF(K47="V",$D47*K$15,IF(L47="V",$D47*L$15,0)))))*100</f>
        <v>4.0000000000000009</v>
      </c>
      <c r="N47" s="103"/>
    </row>
    <row r="48" spans="1:14" x14ac:dyDescent="0.4">
      <c r="A48" s="99" t="s">
        <v>117</v>
      </c>
      <c r="B48" s="100" t="s">
        <v>6</v>
      </c>
      <c r="C48" s="101" t="str">
        <f>VLOOKUP($A48,[2]PERTANYAAN!$A$18:$E$71,3,0)</f>
        <v>Determinasi thd tekanan</v>
      </c>
      <c r="D48" s="46">
        <f>VLOOKUP($A48,[2]PERTANYAAN!$A$18:$E$71,5,0)</f>
        <v>7.4999999999999997E-2</v>
      </c>
      <c r="E48" s="17"/>
      <c r="F48" s="16"/>
      <c r="G48" s="16"/>
      <c r="H48" s="102"/>
      <c r="I48" s="102"/>
      <c r="J48" s="102"/>
      <c r="K48" s="102"/>
      <c r="L48" s="102" t="s">
        <v>16</v>
      </c>
      <c r="M48" s="16">
        <f>IF(H48="V",$D48*H$15,IF(I48="V",$D48*I$15,IF(J48="V",$D48*J$15,IF(K48="V",$D48*K$15,IF(L48="V",$D48*L$15,0)))))*100</f>
        <v>7.5</v>
      </c>
      <c r="N48" s="103"/>
    </row>
    <row r="49" spans="1:14" x14ac:dyDescent="0.4">
      <c r="A49" s="92"/>
      <c r="B49" s="100"/>
      <c r="C49" s="103"/>
      <c r="D49" s="17"/>
      <c r="E49" s="17"/>
      <c r="F49" s="16"/>
      <c r="G49" s="16"/>
      <c r="H49" s="102"/>
      <c r="I49" s="102"/>
      <c r="J49" s="102"/>
      <c r="K49" s="102"/>
      <c r="L49" s="102"/>
      <c r="M49" s="16"/>
      <c r="N49" s="103"/>
    </row>
    <row r="50" spans="1:14" hidden="1" outlineLevel="1" x14ac:dyDescent="0.4">
      <c r="A50" s="92"/>
      <c r="B50" s="104">
        <v>2</v>
      </c>
      <c r="C50" s="103" t="s">
        <v>26</v>
      </c>
      <c r="D50" s="17"/>
      <c r="E50" s="17"/>
      <c r="F50" s="16"/>
      <c r="G50" s="16"/>
      <c r="H50" s="102"/>
      <c r="I50" s="102"/>
      <c r="J50" s="102"/>
      <c r="K50" s="102"/>
      <c r="L50" s="102"/>
      <c r="M50" s="16"/>
      <c r="N50" s="103"/>
    </row>
    <row r="51" spans="1:14" hidden="1" outlineLevel="1" x14ac:dyDescent="0.4">
      <c r="A51" s="92"/>
      <c r="B51" s="100" t="s">
        <v>6</v>
      </c>
      <c r="C51" s="103" t="s">
        <v>54</v>
      </c>
      <c r="D51" s="17"/>
      <c r="E51" s="17"/>
      <c r="F51" s="16"/>
      <c r="G51" s="16"/>
      <c r="H51" s="102"/>
      <c r="I51" s="102"/>
      <c r="J51" s="102"/>
      <c r="K51" s="102"/>
      <c r="L51" s="102"/>
      <c r="M51" s="16"/>
      <c r="N51" s="103"/>
    </row>
    <row r="52" spans="1:14" hidden="1" outlineLevel="1" x14ac:dyDescent="0.4">
      <c r="A52" s="92"/>
      <c r="B52" s="100" t="s">
        <v>6</v>
      </c>
      <c r="C52" s="103" t="s">
        <v>55</v>
      </c>
      <c r="D52" s="17"/>
      <c r="E52" s="17"/>
      <c r="F52" s="16"/>
      <c r="G52" s="16"/>
      <c r="H52" s="102"/>
      <c r="I52" s="102"/>
      <c r="J52" s="102"/>
      <c r="K52" s="102"/>
      <c r="L52" s="102"/>
      <c r="M52" s="16"/>
      <c r="N52" s="103"/>
    </row>
    <row r="53" spans="1:14" hidden="1" outlineLevel="1" x14ac:dyDescent="0.4">
      <c r="A53" s="92"/>
      <c r="B53" s="100" t="s">
        <v>6</v>
      </c>
      <c r="C53" s="103" t="s">
        <v>56</v>
      </c>
      <c r="D53" s="17"/>
      <c r="E53" s="17"/>
      <c r="F53" s="16"/>
      <c r="G53" s="16"/>
      <c r="H53" s="102"/>
      <c r="I53" s="102"/>
      <c r="J53" s="102"/>
      <c r="K53" s="102"/>
      <c r="L53" s="102"/>
      <c r="M53" s="16"/>
      <c r="N53" s="103"/>
    </row>
    <row r="54" spans="1:14" hidden="1" outlineLevel="1" x14ac:dyDescent="0.4">
      <c r="A54" s="92"/>
      <c r="B54" s="100"/>
      <c r="C54" s="103"/>
      <c r="D54" s="17"/>
      <c r="E54" s="17"/>
      <c r="F54" s="16"/>
      <c r="G54" s="16"/>
      <c r="H54" s="102"/>
      <c r="I54" s="102"/>
      <c r="J54" s="102"/>
      <c r="K54" s="102"/>
      <c r="L54" s="102"/>
      <c r="M54" s="16"/>
      <c r="N54" s="103"/>
    </row>
    <row r="55" spans="1:14" hidden="1" outlineLevel="1" x14ac:dyDescent="0.4">
      <c r="A55" s="92"/>
      <c r="B55" s="104">
        <v>3</v>
      </c>
      <c r="C55" s="103" t="s">
        <v>27</v>
      </c>
      <c r="D55" s="17"/>
      <c r="E55" s="17"/>
      <c r="F55" s="16"/>
      <c r="G55" s="16"/>
      <c r="H55" s="102"/>
      <c r="I55" s="102"/>
      <c r="J55" s="102"/>
      <c r="K55" s="102"/>
      <c r="L55" s="102"/>
      <c r="M55" s="16"/>
      <c r="N55" s="103"/>
    </row>
    <row r="56" spans="1:14" hidden="1" outlineLevel="1" x14ac:dyDescent="0.4">
      <c r="A56" s="92"/>
      <c r="B56" s="100" t="s">
        <v>6</v>
      </c>
      <c r="C56" s="103" t="s">
        <v>54</v>
      </c>
      <c r="D56" s="17"/>
      <c r="E56" s="17"/>
      <c r="F56" s="16"/>
      <c r="G56" s="16"/>
      <c r="H56" s="102"/>
      <c r="I56" s="102"/>
      <c r="J56" s="102"/>
      <c r="K56" s="102"/>
      <c r="L56" s="102"/>
      <c r="M56" s="16"/>
      <c r="N56" s="103"/>
    </row>
    <row r="57" spans="1:14" hidden="1" outlineLevel="1" x14ac:dyDescent="0.4">
      <c r="A57" s="92"/>
      <c r="B57" s="100" t="s">
        <v>6</v>
      </c>
      <c r="C57" s="103" t="s">
        <v>56</v>
      </c>
      <c r="D57" s="17"/>
      <c r="E57" s="17"/>
      <c r="F57" s="16"/>
      <c r="G57" s="16"/>
      <c r="H57" s="102"/>
      <c r="I57" s="102"/>
      <c r="J57" s="102"/>
      <c r="K57" s="102"/>
      <c r="L57" s="102"/>
      <c r="M57" s="16"/>
      <c r="N57" s="103"/>
    </row>
    <row r="58" spans="1:14" hidden="1" outlineLevel="1" x14ac:dyDescent="0.4">
      <c r="A58" s="92"/>
      <c r="B58" s="100" t="s">
        <v>6</v>
      </c>
      <c r="C58" s="103" t="s">
        <v>57</v>
      </c>
      <c r="D58" s="17"/>
      <c r="E58" s="17"/>
      <c r="F58" s="16"/>
      <c r="G58" s="16"/>
      <c r="H58" s="102"/>
      <c r="I58" s="102"/>
      <c r="J58" s="102"/>
      <c r="K58" s="102"/>
      <c r="L58" s="102"/>
      <c r="M58" s="16"/>
      <c r="N58" s="103"/>
    </row>
    <row r="59" spans="1:14" hidden="1" outlineLevel="1" x14ac:dyDescent="0.4">
      <c r="A59" s="92"/>
      <c r="B59" s="104"/>
      <c r="C59" s="103"/>
      <c r="D59" s="17"/>
      <c r="E59" s="17"/>
      <c r="F59" s="16"/>
      <c r="G59" s="16"/>
      <c r="H59" s="102"/>
      <c r="I59" s="102"/>
      <c r="J59" s="102"/>
      <c r="K59" s="102"/>
      <c r="L59" s="102"/>
      <c r="M59" s="16"/>
      <c r="N59" s="103"/>
    </row>
    <row r="60" spans="1:14" s="2" customFormat="1" collapsed="1" x14ac:dyDescent="0.4">
      <c r="A60" s="3"/>
      <c r="B60" s="48" t="s">
        <v>99</v>
      </c>
      <c r="C60" s="49" t="s">
        <v>46</v>
      </c>
      <c r="D60" s="51">
        <f>SUM(D61:D64)</f>
        <v>0.15</v>
      </c>
      <c r="E60" s="51"/>
      <c r="F60" s="54"/>
      <c r="G60" s="54"/>
      <c r="H60" s="59"/>
      <c r="I60" s="59"/>
      <c r="J60" s="59"/>
      <c r="K60" s="59"/>
      <c r="L60" s="59"/>
      <c r="M60" s="54">
        <f>SUM(M61:M64)</f>
        <v>13</v>
      </c>
      <c r="N60" s="49"/>
    </row>
    <row r="61" spans="1:14" x14ac:dyDescent="0.4">
      <c r="A61" s="99" t="s">
        <v>118</v>
      </c>
      <c r="B61" s="100" t="s">
        <v>6</v>
      </c>
      <c r="C61" s="101" t="str">
        <f>VLOOKUP($A61,[2]PERTANYAAN!$A$18:$E$71,3,0)</f>
        <v>Antusiasme / Keinginan bergabung</v>
      </c>
      <c r="D61" s="46">
        <f>VLOOKUP($A61,[2]PERTANYAAN!$A$18:$E$71,5,0)</f>
        <v>7.4999999999999997E-2</v>
      </c>
      <c r="E61" s="17"/>
      <c r="F61" s="16"/>
      <c r="G61" s="16"/>
      <c r="H61" s="102"/>
      <c r="I61" s="102"/>
      <c r="J61" s="102"/>
      <c r="K61" s="102"/>
      <c r="L61" s="102" t="s">
        <v>16</v>
      </c>
      <c r="M61" s="16">
        <f t="shared" ref="M61:M63" si="2">IF(H61="V",$D61*H$15,IF(I61="V",$D61*I$15,IF(J61="V",$D61*J$15,IF(K61="V",$D61*K$15,IF(L61="V",$D61*L$15,0)))))*100</f>
        <v>7.5</v>
      </c>
      <c r="N61" s="103"/>
    </row>
    <row r="62" spans="1:14" x14ac:dyDescent="0.4">
      <c r="A62" s="99" t="s">
        <v>119</v>
      </c>
      <c r="B62" s="100" t="s">
        <v>6</v>
      </c>
      <c r="C62" s="101" t="str">
        <f>VLOOKUP($A62,[2]PERTANYAAN!$A$18:$E$71,3,0)</f>
        <v>Inisiatif</v>
      </c>
      <c r="D62" s="46">
        <f>VLOOKUP($A62,[2]PERTANYAAN!$A$18:$E$71,5,0)</f>
        <v>0.05</v>
      </c>
      <c r="E62" s="17"/>
      <c r="F62" s="16"/>
      <c r="G62" s="16"/>
      <c r="H62" s="102"/>
      <c r="I62" s="102"/>
      <c r="J62" s="102" t="s">
        <v>16</v>
      </c>
      <c r="K62" s="102"/>
      <c r="L62" s="102"/>
      <c r="M62" s="16">
        <f t="shared" si="2"/>
        <v>3</v>
      </c>
      <c r="N62" s="103"/>
    </row>
    <row r="63" spans="1:14" x14ac:dyDescent="0.4">
      <c r="A63" s="99" t="s">
        <v>120</v>
      </c>
      <c r="B63" s="100" t="s">
        <v>6</v>
      </c>
      <c r="C63" s="101" t="str">
        <f>VLOOKUP($A63,[2]PERTANYAAN!$A$18:$E$71,3,0)</f>
        <v>Adaptif</v>
      </c>
      <c r="D63" s="46">
        <f>VLOOKUP($A63,[2]PERTANYAAN!$A$18:$E$71,5,0)</f>
        <v>2.5000000000000001E-2</v>
      </c>
      <c r="E63" s="17"/>
      <c r="F63" s="16"/>
      <c r="G63" s="16"/>
      <c r="H63" s="102"/>
      <c r="I63" s="102"/>
      <c r="J63" s="102"/>
      <c r="K63" s="102"/>
      <c r="L63" s="102" t="s">
        <v>16</v>
      </c>
      <c r="M63" s="16">
        <f t="shared" si="2"/>
        <v>2.5</v>
      </c>
      <c r="N63" s="103"/>
    </row>
    <row r="64" spans="1:14" x14ac:dyDescent="0.4">
      <c r="A64" s="92"/>
      <c r="B64" s="104"/>
      <c r="C64" s="103"/>
      <c r="D64" s="17"/>
      <c r="E64" s="17"/>
      <c r="F64" s="16"/>
      <c r="G64" s="16"/>
      <c r="H64" s="102"/>
      <c r="I64" s="102"/>
      <c r="J64" s="102"/>
      <c r="K64" s="102"/>
      <c r="L64" s="102"/>
      <c r="M64" s="16"/>
      <c r="N64" s="103"/>
    </row>
    <row r="65" spans="1:14" s="2" customFormat="1" x14ac:dyDescent="0.4">
      <c r="A65" s="3"/>
      <c r="B65" s="48" t="s">
        <v>100</v>
      </c>
      <c r="C65" s="49" t="s">
        <v>48</v>
      </c>
      <c r="D65" s="51">
        <f>SUM(D66:D68)</f>
        <v>0.05</v>
      </c>
      <c r="E65" s="51"/>
      <c r="F65" s="54"/>
      <c r="G65" s="54"/>
      <c r="H65" s="59"/>
      <c r="I65" s="59"/>
      <c r="J65" s="59"/>
      <c r="K65" s="59"/>
      <c r="L65" s="59"/>
      <c r="M65" s="54">
        <f>SUM(M66:M68)</f>
        <v>3.4</v>
      </c>
      <c r="N65" s="49"/>
    </row>
    <row r="66" spans="1:14" x14ac:dyDescent="0.4">
      <c r="A66" s="99" t="s">
        <v>121</v>
      </c>
      <c r="B66" s="100" t="s">
        <v>6</v>
      </c>
      <c r="C66" s="101" t="str">
        <f>VLOOKUP($A66,[2]PERTANYAAN!$A$18:$E$71,3,0)</f>
        <v>Ekspektasi Salary (Mengukur Budget &amp; Skill)</v>
      </c>
      <c r="D66" s="46">
        <f>VLOOKUP($A66,[2]PERTANYAAN!$A$18:$E$71,5,0)</f>
        <v>0.04</v>
      </c>
      <c r="E66" s="17"/>
      <c r="F66" s="16"/>
      <c r="G66" s="16"/>
      <c r="H66" s="102"/>
      <c r="I66" s="102"/>
      <c r="J66" s="102" t="s">
        <v>16</v>
      </c>
      <c r="K66" s="102"/>
      <c r="L66" s="102"/>
      <c r="M66" s="16">
        <f t="shared" ref="M66:M67" si="3">IF(H66="V",$D66*H$15,IF(I66="V",$D66*I$15,IF(J66="V",$D66*J$15,IF(K66="V",$D66*K$15,IF(L66="V",$D66*L$15,0)))))*100</f>
        <v>2.4</v>
      </c>
      <c r="N66" s="103"/>
    </row>
    <row r="67" spans="1:14" x14ac:dyDescent="0.4">
      <c r="A67" s="99" t="s">
        <v>122</v>
      </c>
      <c r="B67" s="100" t="s">
        <v>6</v>
      </c>
      <c r="C67" s="101" t="str">
        <f>VLOOKUP($A67,[2]PERTANYAAN!$A$18:$E$71,3,0)</f>
        <v>Tujuan Karir</v>
      </c>
      <c r="D67" s="46">
        <f>VLOOKUP($A67,[2]PERTANYAAN!$A$18:$E$71,5,0)</f>
        <v>0.01</v>
      </c>
      <c r="E67" s="17"/>
      <c r="F67" s="16"/>
      <c r="G67" s="16"/>
      <c r="H67" s="102"/>
      <c r="I67" s="102"/>
      <c r="J67" s="102"/>
      <c r="K67" s="102"/>
      <c r="L67" s="102" t="s">
        <v>16</v>
      </c>
      <c r="M67" s="16">
        <f t="shared" si="3"/>
        <v>1</v>
      </c>
      <c r="N67" s="103"/>
    </row>
    <row r="68" spans="1:14" x14ac:dyDescent="0.4">
      <c r="A68" s="99"/>
      <c r="B68" s="104"/>
      <c r="C68" s="103"/>
      <c r="D68" s="17"/>
      <c r="E68" s="17"/>
      <c r="F68" s="16"/>
      <c r="G68" s="16"/>
      <c r="H68" s="102"/>
      <c r="I68" s="102"/>
      <c r="J68" s="102"/>
      <c r="K68" s="102"/>
      <c r="L68" s="102"/>
      <c r="M68" s="16"/>
      <c r="N68" s="103"/>
    </row>
    <row r="69" spans="1:14" s="2" customFormat="1" x14ac:dyDescent="0.4">
      <c r="A69" s="3"/>
      <c r="B69" s="48" t="s">
        <v>101</v>
      </c>
      <c r="C69" s="49" t="s">
        <v>134</v>
      </c>
      <c r="D69" s="51">
        <f>SUM(D70:D70)</f>
        <v>0.05</v>
      </c>
      <c r="E69" s="51"/>
      <c r="F69" s="54"/>
      <c r="G69" s="54"/>
      <c r="H69" s="59"/>
      <c r="I69" s="59"/>
      <c r="J69" s="59"/>
      <c r="K69" s="59"/>
      <c r="L69" s="59"/>
      <c r="M69" s="54">
        <f>SUM(M70)</f>
        <v>4.0000000000000009</v>
      </c>
      <c r="N69" s="49"/>
    </row>
    <row r="70" spans="1:14" x14ac:dyDescent="0.4">
      <c r="A70" s="99" t="s">
        <v>123</v>
      </c>
      <c r="B70" s="100" t="s">
        <v>6</v>
      </c>
      <c r="C70" s="101" t="str">
        <f>VLOOKUP($A70,[2]PERTANYAAN!$A$18:$E$71,3,0)</f>
        <v>Pertanyaan Spesifik User</v>
      </c>
      <c r="D70" s="46">
        <f>VLOOKUP($A70,[2]PERTANYAAN!$A$18:$E$71,5,0)</f>
        <v>0.05</v>
      </c>
      <c r="E70" s="17"/>
      <c r="F70" s="16"/>
      <c r="G70" s="16"/>
      <c r="H70" s="102"/>
      <c r="I70" s="102"/>
      <c r="J70" s="102"/>
      <c r="K70" s="102" t="s">
        <v>16</v>
      </c>
      <c r="L70" s="102"/>
      <c r="M70" s="16">
        <f t="shared" ref="M70" si="4">IF(H70="V",$D70*H$15,IF(I70="V",$D70*I$15,IF(J70="V",$D70*J$15,IF(K70="V",$D70*K$15,IF(L70="V",$D70*L$15,0)))))*100</f>
        <v>4.0000000000000009</v>
      </c>
      <c r="N70" s="103"/>
    </row>
    <row r="71" spans="1:14" x14ac:dyDescent="0.4">
      <c r="B71" s="105"/>
      <c r="C71" s="106"/>
      <c r="D71" s="22"/>
      <c r="E71" s="22"/>
      <c r="F71" s="21"/>
      <c r="G71" s="21"/>
      <c r="H71" s="107"/>
      <c r="I71" s="107"/>
      <c r="J71" s="107"/>
      <c r="K71" s="107"/>
      <c r="L71" s="107"/>
      <c r="M71" s="21"/>
      <c r="N71" s="106"/>
    </row>
    <row r="73" spans="1:14" x14ac:dyDescent="0.4">
      <c r="H73" s="26" t="s">
        <v>61</v>
      </c>
    </row>
    <row r="74" spans="1:14" x14ac:dyDescent="0.4">
      <c r="H74" s="94" t="s">
        <v>39</v>
      </c>
      <c r="I74" s="94" t="s">
        <v>29</v>
      </c>
      <c r="J74" s="95" t="s">
        <v>69</v>
      </c>
    </row>
    <row r="75" spans="1:14" x14ac:dyDescent="0.4">
      <c r="H75" s="94" t="s">
        <v>40</v>
      </c>
      <c r="I75" s="94" t="s">
        <v>29</v>
      </c>
      <c r="J75" s="95" t="s">
        <v>70</v>
      </c>
    </row>
    <row r="76" spans="1:14" x14ac:dyDescent="0.4">
      <c r="H76" s="94" t="s">
        <v>41</v>
      </c>
      <c r="I76" s="94" t="s">
        <v>29</v>
      </c>
      <c r="J76" s="95" t="s">
        <v>71</v>
      </c>
    </row>
    <row r="77" spans="1:14" x14ac:dyDescent="0.4">
      <c r="H77" s="94" t="s">
        <v>42</v>
      </c>
      <c r="I77" s="94" t="s">
        <v>29</v>
      </c>
      <c r="J77" s="95" t="s">
        <v>72</v>
      </c>
    </row>
    <row r="78" spans="1:14" x14ac:dyDescent="0.4">
      <c r="H78" s="94" t="s">
        <v>43</v>
      </c>
      <c r="I78" s="94" t="s">
        <v>29</v>
      </c>
      <c r="J78" s="95" t="s">
        <v>73</v>
      </c>
    </row>
  </sheetData>
  <mergeCells count="8"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1363-D010-4B86-B7D8-3405043489CE}">
  <sheetPr>
    <tabColor rgb="FFFFC000"/>
  </sheetPr>
  <dimension ref="A1:O78"/>
  <sheetViews>
    <sheetView zoomScaleNormal="100" workbookViewId="0">
      <pane xSplit="1" ySplit="14" topLeftCell="B15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C13" sqref="C13:C14"/>
    </sheetView>
  </sheetViews>
  <sheetFormatPr defaultColWidth="8.84375" defaultRowHeight="14.6" outlineLevelRow="1" x14ac:dyDescent="0.4"/>
  <cols>
    <col min="1" max="1" width="17.69140625" style="93" customWidth="1"/>
    <col min="2" max="2" width="4.3046875" style="92" bestFit="1" customWidth="1"/>
    <col min="3" max="3" width="40.15234375" style="93" bestFit="1" customWidth="1"/>
    <col min="4" max="4" width="8.84375" style="5"/>
    <col min="5" max="5" width="1.69140625" style="5" customWidth="1"/>
    <col min="6" max="7" width="8.84375" style="4"/>
    <col min="8" max="12" width="8.84375" style="94"/>
    <col min="13" max="13" width="8.84375" style="4"/>
    <col min="14" max="14" width="16.84375" style="93" customWidth="1"/>
    <col min="15" max="16384" width="8.84375" style="93"/>
  </cols>
  <sheetData>
    <row r="1" spans="1:14" x14ac:dyDescent="0.4">
      <c r="A1" s="2" t="s">
        <v>125</v>
      </c>
    </row>
    <row r="2" spans="1:14" x14ac:dyDescent="0.4">
      <c r="A2" s="2" t="s">
        <v>0</v>
      </c>
    </row>
    <row r="5" spans="1:14" x14ac:dyDescent="0.4">
      <c r="A5" s="2" t="s">
        <v>1</v>
      </c>
      <c r="B5" s="92" t="s">
        <v>29</v>
      </c>
      <c r="C5" s="2" t="s">
        <v>145</v>
      </c>
    </row>
    <row r="6" spans="1:14" x14ac:dyDescent="0.4">
      <c r="A6" s="2" t="s">
        <v>20</v>
      </c>
      <c r="B6" s="92" t="s">
        <v>29</v>
      </c>
      <c r="C6" s="93" t="s">
        <v>31</v>
      </c>
    </row>
    <row r="7" spans="1:14" x14ac:dyDescent="0.4">
      <c r="A7" s="2" t="s">
        <v>32</v>
      </c>
      <c r="B7" s="92" t="s">
        <v>29</v>
      </c>
      <c r="C7" s="93" t="s">
        <v>33</v>
      </c>
    </row>
    <row r="8" spans="1:14" x14ac:dyDescent="0.4">
      <c r="A8" s="2" t="s">
        <v>34</v>
      </c>
      <c r="B8" s="92" t="s">
        <v>29</v>
      </c>
      <c r="C8" s="93" t="s">
        <v>35</v>
      </c>
    </row>
    <row r="9" spans="1:14" x14ac:dyDescent="0.4">
      <c r="A9" s="2" t="s">
        <v>28</v>
      </c>
      <c r="B9" s="92" t="s">
        <v>29</v>
      </c>
      <c r="C9" s="93" t="s">
        <v>83</v>
      </c>
      <c r="F9" s="4" t="s">
        <v>166</v>
      </c>
    </row>
    <row r="10" spans="1:14" x14ac:dyDescent="0.4">
      <c r="A10" s="2" t="s">
        <v>38</v>
      </c>
      <c r="B10" s="92" t="s">
        <v>29</v>
      </c>
      <c r="C10" s="2" t="s">
        <v>88</v>
      </c>
      <c r="D10" s="6" t="s">
        <v>92</v>
      </c>
    </row>
    <row r="11" spans="1:14" x14ac:dyDescent="0.4">
      <c r="A11" s="2" t="s">
        <v>67</v>
      </c>
      <c r="B11" s="92" t="s">
        <v>29</v>
      </c>
      <c r="C11" s="24">
        <f>M16</f>
        <v>86</v>
      </c>
    </row>
    <row r="13" spans="1:14" s="2" customFormat="1" x14ac:dyDescent="0.4">
      <c r="A13" s="67" t="s">
        <v>124</v>
      </c>
      <c r="B13" s="68" t="s">
        <v>2</v>
      </c>
      <c r="C13" s="68" t="s">
        <v>3</v>
      </c>
      <c r="D13" s="70" t="s">
        <v>19</v>
      </c>
      <c r="E13" s="42"/>
      <c r="F13" s="65" t="s">
        <v>18</v>
      </c>
      <c r="G13" s="65"/>
      <c r="H13" s="68" t="s">
        <v>37</v>
      </c>
      <c r="I13" s="68"/>
      <c r="J13" s="68"/>
      <c r="K13" s="68"/>
      <c r="L13" s="68"/>
      <c r="M13" s="65" t="s">
        <v>17</v>
      </c>
      <c r="N13" s="66" t="s">
        <v>61</v>
      </c>
    </row>
    <row r="14" spans="1:14" s="2" customFormat="1" x14ac:dyDescent="0.4">
      <c r="A14" s="67"/>
      <c r="B14" s="68"/>
      <c r="C14" s="96"/>
      <c r="D14" s="71"/>
      <c r="E14" s="44"/>
      <c r="F14" s="43" t="s">
        <v>14</v>
      </c>
      <c r="G14" s="43" t="s">
        <v>15</v>
      </c>
      <c r="H14" s="41" t="s">
        <v>39</v>
      </c>
      <c r="I14" s="41" t="s">
        <v>40</v>
      </c>
      <c r="J14" s="41" t="s">
        <v>41</v>
      </c>
      <c r="K14" s="41" t="s">
        <v>42</v>
      </c>
      <c r="L14" s="41" t="s">
        <v>43</v>
      </c>
      <c r="M14" s="65"/>
      <c r="N14" s="66"/>
    </row>
    <row r="15" spans="1:14" s="2" customFormat="1" x14ac:dyDescent="0.4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4">
      <c r="A16" s="3"/>
      <c r="B16" s="39"/>
      <c r="C16" s="63" t="s">
        <v>65</v>
      </c>
      <c r="D16" s="39"/>
      <c r="E16" s="39"/>
      <c r="F16" s="61"/>
      <c r="G16" s="61"/>
      <c r="H16" s="39"/>
      <c r="I16" s="39"/>
      <c r="J16" s="39"/>
      <c r="K16" s="39"/>
      <c r="L16" s="39"/>
      <c r="M16" s="40">
        <f>M17+M21+M27+M43+M60+M65+M69</f>
        <v>86</v>
      </c>
      <c r="N16" s="35"/>
    </row>
    <row r="17" spans="1:15" x14ac:dyDescent="0.4">
      <c r="B17" s="48" t="s">
        <v>66</v>
      </c>
      <c r="C17" s="49" t="s">
        <v>8</v>
      </c>
      <c r="D17" s="51">
        <f>SUM(D18:D19)</f>
        <v>0.1</v>
      </c>
      <c r="E17" s="51"/>
      <c r="F17" s="54"/>
      <c r="G17" s="54"/>
      <c r="H17" s="97"/>
      <c r="I17" s="97"/>
      <c r="J17" s="97"/>
      <c r="K17" s="97"/>
      <c r="L17" s="97"/>
      <c r="M17" s="54">
        <f>SUM(M18:M20)</f>
        <v>6</v>
      </c>
      <c r="N17" s="98"/>
    </row>
    <row r="18" spans="1:15" x14ac:dyDescent="0.4">
      <c r="A18" s="99" t="s">
        <v>102</v>
      </c>
      <c r="B18" s="100">
        <v>1</v>
      </c>
      <c r="C18" s="101" t="str">
        <f>VLOOKUP($A18,[2]PERTANYAAN!$A$18:$E$71,3,0)</f>
        <v>Pengalaman di dalam Daniswara Group</v>
      </c>
      <c r="D18" s="46">
        <f>VLOOKUP($A18,[2]PERTANYAAN!$A$18:$E$71,5,0)</f>
        <v>0.06</v>
      </c>
      <c r="E18" s="17"/>
      <c r="F18" s="16" t="s">
        <v>16</v>
      </c>
      <c r="G18" s="16"/>
      <c r="H18" s="102"/>
      <c r="I18" s="102"/>
      <c r="J18" s="102"/>
      <c r="K18" s="102"/>
      <c r="L18" s="102"/>
      <c r="M18" s="16">
        <f>IF(F18="V",D18*100,0)</f>
        <v>6</v>
      </c>
      <c r="N18" s="103"/>
    </row>
    <row r="19" spans="1:15" x14ac:dyDescent="0.4">
      <c r="A19" s="99" t="s">
        <v>103</v>
      </c>
      <c r="B19" s="100">
        <f>B18+1</f>
        <v>2</v>
      </c>
      <c r="C19" s="101" t="str">
        <f>VLOOKUP($A19,[2]PERTANYAAN!$A$18:$E$71,3,0)</f>
        <v>Pengalaman di luar Daniswara Group</v>
      </c>
      <c r="D19" s="46">
        <f>VLOOKUP($A19,[2]PERTANYAAN!$A$18:$E$71,5,0)</f>
        <v>0.04</v>
      </c>
      <c r="E19" s="17"/>
      <c r="F19" s="16"/>
      <c r="G19" s="16"/>
      <c r="H19" s="102"/>
      <c r="I19" s="102"/>
      <c r="J19" s="102"/>
      <c r="K19" s="102"/>
      <c r="L19" s="102"/>
      <c r="M19" s="16">
        <f>IF(F19="V",D19*100,0)</f>
        <v>0</v>
      </c>
      <c r="N19" s="103"/>
    </row>
    <row r="20" spans="1:15" x14ac:dyDescent="0.4">
      <c r="A20" s="92"/>
      <c r="B20" s="104"/>
      <c r="C20" s="103"/>
      <c r="D20" s="17"/>
      <c r="E20" s="17"/>
      <c r="F20" s="16"/>
      <c r="G20" s="16"/>
      <c r="H20" s="102"/>
      <c r="I20" s="102"/>
      <c r="J20" s="102"/>
      <c r="K20" s="102"/>
      <c r="L20" s="102"/>
      <c r="M20" s="16"/>
      <c r="N20" s="103"/>
    </row>
    <row r="21" spans="1:15" x14ac:dyDescent="0.4">
      <c r="A21" s="92"/>
      <c r="B21" s="48" t="s">
        <v>42</v>
      </c>
      <c r="C21" s="49" t="s">
        <v>9</v>
      </c>
      <c r="D21" s="51">
        <f>SUM(D22:D25)</f>
        <v>0.05</v>
      </c>
      <c r="E21" s="51"/>
      <c r="F21" s="54"/>
      <c r="G21" s="54"/>
      <c r="H21" s="97"/>
      <c r="I21" s="97"/>
      <c r="J21" s="97"/>
      <c r="K21" s="97"/>
      <c r="L21" s="97"/>
      <c r="M21" s="54">
        <f>SUM(M22:M25)</f>
        <v>5</v>
      </c>
      <c r="N21" s="98"/>
    </row>
    <row r="22" spans="1:15" x14ac:dyDescent="0.4">
      <c r="A22" s="99" t="s">
        <v>104</v>
      </c>
      <c r="B22" s="100">
        <v>1</v>
      </c>
      <c r="C22" s="101" t="str">
        <f>VLOOKUP($A22,[2]PERTANYAAN!$A$18:$E$71,3,0)</f>
        <v>Identitas (KTP &amp; KK)</v>
      </c>
      <c r="D22" s="46">
        <f>VLOOKUP($A22,[2]PERTANYAAN!$A$18:$E$71,5,0)</f>
        <v>0.01</v>
      </c>
      <c r="E22" s="17"/>
      <c r="F22" s="16" t="s">
        <v>16</v>
      </c>
      <c r="G22" s="16"/>
      <c r="H22" s="102"/>
      <c r="I22" s="102"/>
      <c r="J22" s="102"/>
      <c r="K22" s="102"/>
      <c r="L22" s="102"/>
      <c r="M22" s="16">
        <f>IF(F22="V",D22*100,0)</f>
        <v>1</v>
      </c>
      <c r="N22" s="103"/>
    </row>
    <row r="23" spans="1:15" x14ac:dyDescent="0.4">
      <c r="A23" s="99" t="s">
        <v>105</v>
      </c>
      <c r="B23" s="100">
        <f>B22+1</f>
        <v>2</v>
      </c>
      <c r="C23" s="101" t="str">
        <f>VLOOKUP($A23,[2]PERTANYAAN!$A$18:$E$71,3,0)</f>
        <v>SIM A (utk jabatan di Divisi Operasi)</v>
      </c>
      <c r="D23" s="46">
        <f>VLOOKUP($A23,[2]PERTANYAAN!$A$18:$E$71,5,0)</f>
        <v>0.02</v>
      </c>
      <c r="E23" s="17"/>
      <c r="F23" s="16" t="s">
        <v>16</v>
      </c>
      <c r="G23" s="16"/>
      <c r="H23" s="102"/>
      <c r="I23" s="102"/>
      <c r="J23" s="102"/>
      <c r="K23" s="102"/>
      <c r="L23" s="102"/>
      <c r="M23" s="16">
        <f>IF(F23="V",D23*100,0)</f>
        <v>2</v>
      </c>
      <c r="N23" s="103"/>
      <c r="O23" s="93" t="s">
        <v>167</v>
      </c>
    </row>
    <row r="24" spans="1:15" x14ac:dyDescent="0.4">
      <c r="A24" s="99" t="s">
        <v>106</v>
      </c>
      <c r="B24" s="100">
        <f t="shared" ref="B24:B25" si="0">B23+1</f>
        <v>3</v>
      </c>
      <c r="C24" s="101" t="str">
        <f>VLOOKUP($A24,[2]PERTANYAAN!$A$18:$E$71,3,0)</f>
        <v>SIM C</v>
      </c>
      <c r="D24" s="46">
        <f>VLOOKUP($A24,[2]PERTANYAAN!$A$18:$E$71,5,0)</f>
        <v>0.01</v>
      </c>
      <c r="E24" s="17"/>
      <c r="F24" s="16" t="s">
        <v>16</v>
      </c>
      <c r="G24" s="16"/>
      <c r="H24" s="102"/>
      <c r="I24" s="102"/>
      <c r="J24" s="102"/>
      <c r="K24" s="102"/>
      <c r="L24" s="102"/>
      <c r="M24" s="16">
        <f>IF(F24="V",D24*100,0)</f>
        <v>1</v>
      </c>
      <c r="N24" s="103"/>
    </row>
    <row r="25" spans="1:15" x14ac:dyDescent="0.4">
      <c r="A25" s="99" t="s">
        <v>107</v>
      </c>
      <c r="B25" s="100">
        <f t="shared" si="0"/>
        <v>4</v>
      </c>
      <c r="C25" s="101" t="str">
        <f>VLOOKUP($A25,[2]PERTANYAAN!$A$18:$E$71,3,0)</f>
        <v>NPWP</v>
      </c>
      <c r="D25" s="46">
        <f>VLOOKUP($A25,[2]PERTANYAAN!$A$18:$E$71,5,0)</f>
        <v>0.01</v>
      </c>
      <c r="E25" s="17"/>
      <c r="F25" s="16" t="s">
        <v>16</v>
      </c>
      <c r="G25" s="16"/>
      <c r="H25" s="102"/>
      <c r="I25" s="102"/>
      <c r="J25" s="102"/>
      <c r="K25" s="102"/>
      <c r="L25" s="102"/>
      <c r="M25" s="16">
        <f>IF(F25="V",D25*100,0)</f>
        <v>1</v>
      </c>
      <c r="N25" s="103"/>
    </row>
    <row r="26" spans="1:15" x14ac:dyDescent="0.4">
      <c r="A26" s="92"/>
      <c r="B26" s="104"/>
      <c r="C26" s="103"/>
      <c r="D26" s="17"/>
      <c r="E26" s="17"/>
      <c r="F26" s="16"/>
      <c r="G26" s="16"/>
      <c r="H26" s="102"/>
      <c r="I26" s="102"/>
      <c r="J26" s="102"/>
      <c r="K26" s="102"/>
      <c r="L26" s="102"/>
      <c r="M26" s="16"/>
      <c r="N26" s="103"/>
    </row>
    <row r="27" spans="1:15" x14ac:dyDescent="0.4">
      <c r="A27" s="92"/>
      <c r="B27" s="48" t="s">
        <v>97</v>
      </c>
      <c r="C27" s="49" t="s">
        <v>21</v>
      </c>
      <c r="D27" s="51">
        <f>D28</f>
        <v>0.35000000000000003</v>
      </c>
      <c r="E27" s="57"/>
      <c r="F27" s="60"/>
      <c r="G27" s="60"/>
      <c r="H27" s="97"/>
      <c r="I27" s="97"/>
      <c r="J27" s="97"/>
      <c r="K27" s="97"/>
      <c r="L27" s="97"/>
      <c r="M27" s="54">
        <f>M28</f>
        <v>25</v>
      </c>
      <c r="N27" s="98"/>
    </row>
    <row r="28" spans="1:15" x14ac:dyDescent="0.4">
      <c r="A28" s="99" t="s">
        <v>108</v>
      </c>
      <c r="B28" s="100">
        <v>1</v>
      </c>
      <c r="C28" s="101" t="str">
        <f>VLOOKUP($A28,[2]PERTANYAAN!$A$18:$E$71,3,0)</f>
        <v>Operasi / Logistik</v>
      </c>
      <c r="D28" s="46">
        <f>VLOOKUP($A28,[2]PERTANYAAN!$A$18:$E$71,5,0)</f>
        <v>0.35000000000000003</v>
      </c>
      <c r="E28" s="17"/>
      <c r="F28" s="16"/>
      <c r="G28" s="16"/>
      <c r="H28" s="102"/>
      <c r="I28" s="102"/>
      <c r="J28" s="102"/>
      <c r="K28" s="102"/>
      <c r="L28" s="102"/>
      <c r="M28" s="16">
        <f>SUM(M29:M33)</f>
        <v>25</v>
      </c>
      <c r="N28" s="103"/>
    </row>
    <row r="29" spans="1:15" x14ac:dyDescent="0.4">
      <c r="A29" s="99" t="s">
        <v>109</v>
      </c>
      <c r="B29" s="100" t="s">
        <v>6</v>
      </c>
      <c r="C29" s="101" t="str">
        <f>VLOOKUP($A29,[2]PERTANYAAN!$A$18:$E$71,3,0)</f>
        <v>Skill Mengemudi</v>
      </c>
      <c r="D29" s="46">
        <f>VLOOKUP($A29,[2]PERTANYAAN!$A$18:$E$71,5,0)</f>
        <v>0.15</v>
      </c>
      <c r="E29" s="17"/>
      <c r="F29" s="16"/>
      <c r="G29" s="16"/>
      <c r="H29" s="102"/>
      <c r="I29" s="102"/>
      <c r="J29" s="102" t="s">
        <v>16</v>
      </c>
      <c r="K29" s="102"/>
      <c r="L29" s="102"/>
      <c r="M29" s="16">
        <f>IF(H29="V",$D29*H$15,IF(I29="V",$D29*I$15,IF(J29="V",$D29*J$15,IF(K29="V",$D29*K$15,IF(L29="V",$D29*L$15,0)))))*100</f>
        <v>9</v>
      </c>
      <c r="N29" s="103"/>
    </row>
    <row r="30" spans="1:15" x14ac:dyDescent="0.4">
      <c r="A30" s="99" t="s">
        <v>110</v>
      </c>
      <c r="B30" s="100" t="s">
        <v>6</v>
      </c>
      <c r="C30" s="101" t="str">
        <f>VLOOKUP($A30,[2]PERTANYAAN!$A$18:$E$71,3,0)</f>
        <v>Flow Administrasi Logistik</v>
      </c>
      <c r="D30" s="46">
        <f>VLOOKUP($A30,[2]PERTANYAAN!$A$18:$E$71,5,0)</f>
        <v>0.1</v>
      </c>
      <c r="E30" s="17"/>
      <c r="F30" s="16"/>
      <c r="G30" s="16"/>
      <c r="H30" s="102"/>
      <c r="I30" s="102"/>
      <c r="J30" s="102"/>
      <c r="K30" s="102" t="s">
        <v>16</v>
      </c>
      <c r="L30" s="102"/>
      <c r="M30" s="16">
        <f t="shared" ref="M30:M32" si="1">IF(H30="V",$D30*H$15,IF(I30="V",$D30*I$15,IF(J30="V",$D30*J$15,IF(K30="V",$D30*K$15,IF(L30="V",$D30*L$15,0)))))*100</f>
        <v>8.0000000000000018</v>
      </c>
      <c r="N30" s="103"/>
    </row>
    <row r="31" spans="1:15" x14ac:dyDescent="0.4">
      <c r="A31" s="99" t="s">
        <v>111</v>
      </c>
      <c r="B31" s="100" t="s">
        <v>6</v>
      </c>
      <c r="C31" s="101" t="str">
        <f>VLOOKUP($A31,[2]PERTANYAAN!$A$18:$E$71,3,0)</f>
        <v>Pengetahuan terkait logistik</v>
      </c>
      <c r="D31" s="46">
        <f>VLOOKUP($A31,[2]PERTANYAAN!$A$18:$E$71,5,0)</f>
        <v>2.5000000000000001E-2</v>
      </c>
      <c r="E31" s="17"/>
      <c r="F31" s="16"/>
      <c r="G31" s="16"/>
      <c r="H31" s="102"/>
      <c r="I31" s="102"/>
      <c r="J31" s="102"/>
      <c r="K31" s="102" t="s">
        <v>16</v>
      </c>
      <c r="L31" s="102"/>
      <c r="M31" s="16">
        <f t="shared" si="1"/>
        <v>2.0000000000000004</v>
      </c>
      <c r="N31" s="103"/>
    </row>
    <row r="32" spans="1:15" x14ac:dyDescent="0.4">
      <c r="A32" s="99" t="s">
        <v>112</v>
      </c>
      <c r="B32" s="100" t="s">
        <v>6</v>
      </c>
      <c r="C32" s="101" t="str">
        <f>VLOOKUP($A32,[2]PERTANYAAN!$A$18:$E$71,3,0)</f>
        <v>Pengalaman di Bongkar Muat</v>
      </c>
      <c r="D32" s="46">
        <f>VLOOKUP($A32,[2]PERTANYAAN!$A$18:$E$71,5,0)</f>
        <v>7.4999999999999997E-2</v>
      </c>
      <c r="E32" s="17"/>
      <c r="F32" s="16"/>
      <c r="G32" s="16"/>
      <c r="H32" s="102"/>
      <c r="I32" s="102"/>
      <c r="J32" s="102"/>
      <c r="K32" s="102" t="s">
        <v>16</v>
      </c>
      <c r="L32" s="102"/>
      <c r="M32" s="16">
        <f t="shared" si="1"/>
        <v>6</v>
      </c>
      <c r="N32" s="103"/>
    </row>
    <row r="33" spans="1:15" x14ac:dyDescent="0.4">
      <c r="A33" s="92"/>
      <c r="B33" s="100"/>
      <c r="C33" s="103"/>
      <c r="D33" s="17"/>
      <c r="E33" s="17"/>
      <c r="F33" s="16"/>
      <c r="G33" s="16"/>
      <c r="H33" s="102"/>
      <c r="I33" s="102"/>
      <c r="J33" s="102"/>
      <c r="K33" s="102"/>
      <c r="L33" s="102"/>
      <c r="M33" s="16"/>
      <c r="N33" s="103"/>
    </row>
    <row r="34" spans="1:15" hidden="1" outlineLevel="1" x14ac:dyDescent="0.4">
      <c r="A34" s="92"/>
      <c r="B34" s="100">
        <f>B28+1</f>
        <v>2</v>
      </c>
      <c r="C34" s="103" t="s">
        <v>22</v>
      </c>
      <c r="D34" s="17">
        <f>SUM(D35:D37)</f>
        <v>0.35</v>
      </c>
      <c r="E34" s="17"/>
      <c r="F34" s="16"/>
      <c r="G34" s="16"/>
      <c r="H34" s="102"/>
      <c r="I34" s="102"/>
      <c r="J34" s="102"/>
      <c r="K34" s="102"/>
      <c r="L34" s="102"/>
      <c r="M34" s="16"/>
      <c r="N34" s="103"/>
    </row>
    <row r="35" spans="1:15" hidden="1" outlineLevel="1" x14ac:dyDescent="0.4">
      <c r="A35" s="92"/>
      <c r="B35" s="100" t="s">
        <v>6</v>
      </c>
      <c r="C35" s="103" t="s">
        <v>44</v>
      </c>
      <c r="D35" s="17">
        <v>0.15</v>
      </c>
      <c r="E35" s="17"/>
      <c r="F35" s="16"/>
      <c r="G35" s="16"/>
      <c r="H35" s="102"/>
      <c r="I35" s="102"/>
      <c r="J35" s="102"/>
      <c r="K35" s="102"/>
      <c r="L35" s="102"/>
      <c r="M35" s="16"/>
      <c r="N35" s="103"/>
    </row>
    <row r="36" spans="1:15" hidden="1" outlineLevel="1" x14ac:dyDescent="0.4">
      <c r="A36" s="92"/>
      <c r="B36" s="100" t="s">
        <v>6</v>
      </c>
      <c r="C36" s="103" t="s">
        <v>50</v>
      </c>
      <c r="D36" s="17">
        <v>0.2</v>
      </c>
      <c r="E36" s="17"/>
      <c r="F36" s="16"/>
      <c r="G36" s="16"/>
      <c r="H36" s="102"/>
      <c r="I36" s="102"/>
      <c r="J36" s="102"/>
      <c r="K36" s="102"/>
      <c r="L36" s="102"/>
      <c r="M36" s="16"/>
      <c r="N36" s="103"/>
    </row>
    <row r="37" spans="1:15" hidden="1" outlineLevel="1" x14ac:dyDescent="0.4">
      <c r="A37" s="92"/>
      <c r="B37" s="100"/>
      <c r="C37" s="103"/>
      <c r="D37" s="17"/>
      <c r="E37" s="17"/>
      <c r="F37" s="16"/>
      <c r="G37" s="16"/>
      <c r="H37" s="102"/>
      <c r="I37" s="102"/>
      <c r="J37" s="102"/>
      <c r="K37" s="102"/>
      <c r="L37" s="102"/>
      <c r="M37" s="16"/>
      <c r="N37" s="103"/>
    </row>
    <row r="38" spans="1:15" hidden="1" outlineLevel="1" x14ac:dyDescent="0.4">
      <c r="A38" s="92"/>
      <c r="B38" s="104">
        <v>3</v>
      </c>
      <c r="C38" s="103" t="s">
        <v>23</v>
      </c>
      <c r="D38" s="17"/>
      <c r="E38" s="17"/>
      <c r="F38" s="16"/>
      <c r="G38" s="16"/>
      <c r="H38" s="102"/>
      <c r="I38" s="102"/>
      <c r="J38" s="102"/>
      <c r="K38" s="102"/>
      <c r="L38" s="102"/>
      <c r="M38" s="16"/>
      <c r="N38" s="103"/>
    </row>
    <row r="39" spans="1:15" hidden="1" outlineLevel="1" x14ac:dyDescent="0.4">
      <c r="A39" s="92"/>
      <c r="B39" s="100" t="s">
        <v>6</v>
      </c>
      <c r="C39" s="103" t="s">
        <v>52</v>
      </c>
      <c r="D39" s="17"/>
      <c r="E39" s="17"/>
      <c r="F39" s="16"/>
      <c r="G39" s="16"/>
      <c r="H39" s="102"/>
      <c r="I39" s="102"/>
      <c r="J39" s="102"/>
      <c r="K39" s="102"/>
      <c r="L39" s="102"/>
      <c r="M39" s="16"/>
      <c r="N39" s="103"/>
    </row>
    <row r="40" spans="1:15" hidden="1" outlineLevel="1" x14ac:dyDescent="0.4">
      <c r="A40" s="92"/>
      <c r="B40" s="100" t="s">
        <v>6</v>
      </c>
      <c r="C40" s="103" t="s">
        <v>53</v>
      </c>
      <c r="D40" s="17"/>
      <c r="E40" s="17"/>
      <c r="F40" s="16"/>
      <c r="G40" s="16"/>
      <c r="H40" s="102"/>
      <c r="I40" s="102"/>
      <c r="J40" s="102"/>
      <c r="K40" s="102"/>
      <c r="L40" s="102"/>
      <c r="M40" s="16"/>
      <c r="N40" s="103"/>
    </row>
    <row r="41" spans="1:15" hidden="1" outlineLevel="1" x14ac:dyDescent="0.4">
      <c r="A41" s="92"/>
      <c r="B41" s="100" t="s">
        <v>6</v>
      </c>
      <c r="C41" s="103"/>
      <c r="D41" s="17"/>
      <c r="E41" s="17"/>
      <c r="F41" s="16"/>
      <c r="G41" s="16"/>
      <c r="H41" s="102"/>
      <c r="I41" s="102"/>
      <c r="J41" s="102"/>
      <c r="K41" s="102"/>
      <c r="L41" s="102"/>
      <c r="M41" s="16"/>
      <c r="N41" s="103"/>
    </row>
    <row r="42" spans="1:15" hidden="1" outlineLevel="1" x14ac:dyDescent="0.4">
      <c r="A42" s="92"/>
      <c r="B42" s="104"/>
      <c r="C42" s="103"/>
      <c r="D42" s="17"/>
      <c r="E42" s="17"/>
      <c r="F42" s="16"/>
      <c r="G42" s="16"/>
      <c r="H42" s="102"/>
      <c r="I42" s="102"/>
      <c r="J42" s="102"/>
      <c r="K42" s="102"/>
      <c r="L42" s="102"/>
      <c r="M42" s="16"/>
      <c r="N42" s="103"/>
    </row>
    <row r="43" spans="1:15" s="2" customFormat="1" collapsed="1" x14ac:dyDescent="0.4">
      <c r="A43" s="3"/>
      <c r="B43" s="48" t="s">
        <v>98</v>
      </c>
      <c r="C43" s="49" t="s">
        <v>24</v>
      </c>
      <c r="D43" s="51">
        <f>D44</f>
        <v>0.25</v>
      </c>
      <c r="E43" s="51"/>
      <c r="F43" s="54"/>
      <c r="G43" s="54"/>
      <c r="H43" s="59"/>
      <c r="I43" s="59"/>
      <c r="J43" s="59"/>
      <c r="K43" s="59"/>
      <c r="L43" s="59"/>
      <c r="M43" s="54">
        <f>M44</f>
        <v>25</v>
      </c>
      <c r="N43" s="49"/>
    </row>
    <row r="44" spans="1:15" x14ac:dyDescent="0.4">
      <c r="A44" s="92" t="s">
        <v>113</v>
      </c>
      <c r="B44" s="104">
        <v>1</v>
      </c>
      <c r="C44" s="101" t="str">
        <f>VLOOKUP($A44,[2]PERTANYAAN!$A$18:$E$71,3,0)</f>
        <v>Staff</v>
      </c>
      <c r="D44" s="46">
        <f>VLOOKUP($A44,[2]PERTANYAAN!$A$18:$E$71,5,0)</f>
        <v>0.25</v>
      </c>
      <c r="E44" s="17"/>
      <c r="F44" s="16"/>
      <c r="G44" s="16"/>
      <c r="H44" s="102"/>
      <c r="I44" s="102"/>
      <c r="J44" s="102"/>
      <c r="K44" s="102"/>
      <c r="L44" s="102"/>
      <c r="M44" s="16">
        <f>SUM(M45:M48)</f>
        <v>25</v>
      </c>
      <c r="N44" s="103"/>
    </row>
    <row r="45" spans="1:15" x14ac:dyDescent="0.4">
      <c r="A45" s="99" t="s">
        <v>114</v>
      </c>
      <c r="B45" s="100" t="s">
        <v>6</v>
      </c>
      <c r="C45" s="101" t="str">
        <f>VLOOKUP($A45,[2]PERTANYAAN!$A$18:$E$71,3,0)</f>
        <v>Kepemimpinan</v>
      </c>
      <c r="D45" s="46">
        <f>VLOOKUP($A45,[2]PERTANYAAN!$A$18:$E$71,5,0)</f>
        <v>2.5000000000000001E-2</v>
      </c>
      <c r="E45" s="17"/>
      <c r="F45" s="16"/>
      <c r="G45" s="16"/>
      <c r="H45" s="102"/>
      <c r="I45" s="102"/>
      <c r="J45" s="102"/>
      <c r="K45" s="102"/>
      <c r="L45" s="102" t="s">
        <v>16</v>
      </c>
      <c r="M45" s="16">
        <f>IF(H45="V",$D45*H$15,IF(I45="V",$D45*I$15,IF(J45="V",$D45*J$15,IF(K45="V",$D45*K$15,IF(L45="V",$D45*L$15,0)))))*100</f>
        <v>2.5</v>
      </c>
      <c r="N45" s="103"/>
    </row>
    <row r="46" spans="1:15" x14ac:dyDescent="0.4">
      <c r="A46" s="99" t="s">
        <v>115</v>
      </c>
      <c r="B46" s="100" t="s">
        <v>6</v>
      </c>
      <c r="C46" s="101" t="str">
        <f>VLOOKUP($A46,[2]PERTANYAAN!$A$18:$E$71,3,0)</f>
        <v>Komunikasi</v>
      </c>
      <c r="D46" s="46">
        <f>VLOOKUP($A46,[2]PERTANYAAN!$A$18:$E$71,5,0)</f>
        <v>0.1</v>
      </c>
      <c r="E46" s="17"/>
      <c r="F46" s="16"/>
      <c r="G46" s="16"/>
      <c r="H46" s="102"/>
      <c r="I46" s="102"/>
      <c r="J46" s="102"/>
      <c r="K46" s="102"/>
      <c r="L46" s="102" t="s">
        <v>16</v>
      </c>
      <c r="M46" s="16">
        <f>IF(H46="V",$D46*H$15,IF(I46="V",$D46*I$15,IF(J46="V",$D46*J$15,IF(K46="V",$D46*K$15,IF(L46="V",$D46*L$15,0)))))*100</f>
        <v>10</v>
      </c>
      <c r="N46" s="103"/>
      <c r="O46" s="93" t="s">
        <v>168</v>
      </c>
    </row>
    <row r="47" spans="1:15" x14ac:dyDescent="0.4">
      <c r="A47" s="99" t="s">
        <v>116</v>
      </c>
      <c r="B47" s="100" t="s">
        <v>6</v>
      </c>
      <c r="C47" s="101" t="str">
        <f>VLOOKUP($A47,[2]PERTANYAAN!$A$18:$E$71,3,0)</f>
        <v>Patuh pada Peraturan / Commitment</v>
      </c>
      <c r="D47" s="46">
        <f>VLOOKUP($A47,[2]PERTANYAAN!$A$18:$E$71,5,0)</f>
        <v>0.05</v>
      </c>
      <c r="E47" s="17"/>
      <c r="F47" s="16"/>
      <c r="G47" s="16"/>
      <c r="H47" s="102"/>
      <c r="I47" s="102"/>
      <c r="J47" s="102"/>
      <c r="K47" s="102"/>
      <c r="L47" s="102" t="s">
        <v>16</v>
      </c>
      <c r="M47" s="16">
        <f>IF(H47="V",$D47*H$15,IF(I47="V",$D47*I$15,IF(J47="V",$D47*J$15,IF(K47="V",$D47*K$15,IF(L47="V",$D47*L$15,0)))))*100</f>
        <v>5</v>
      </c>
      <c r="N47" s="103"/>
    </row>
    <row r="48" spans="1:15" x14ac:dyDescent="0.4">
      <c r="A48" s="99" t="s">
        <v>117</v>
      </c>
      <c r="B48" s="100" t="s">
        <v>6</v>
      </c>
      <c r="C48" s="101" t="str">
        <f>VLOOKUP($A48,[2]PERTANYAAN!$A$18:$E$71,3,0)</f>
        <v>Determinasi thd tekanan</v>
      </c>
      <c r="D48" s="46">
        <f>VLOOKUP($A48,[2]PERTANYAAN!$A$18:$E$71,5,0)</f>
        <v>7.4999999999999997E-2</v>
      </c>
      <c r="E48" s="17"/>
      <c r="F48" s="16"/>
      <c r="G48" s="16"/>
      <c r="H48" s="102"/>
      <c r="I48" s="102"/>
      <c r="J48" s="102"/>
      <c r="K48" s="102"/>
      <c r="L48" s="102" t="s">
        <v>16</v>
      </c>
      <c r="M48" s="16">
        <f>IF(H48="V",$D48*H$15,IF(I48="V",$D48*I$15,IF(J48="V",$D48*J$15,IF(K48="V",$D48*K$15,IF(L48="V",$D48*L$15,0)))))*100</f>
        <v>7.5</v>
      </c>
      <c r="N48" s="103"/>
    </row>
    <row r="49" spans="1:14" x14ac:dyDescent="0.4">
      <c r="A49" s="92"/>
      <c r="B49" s="100"/>
      <c r="C49" s="103"/>
      <c r="D49" s="17"/>
      <c r="E49" s="17"/>
      <c r="F49" s="16"/>
      <c r="G49" s="16"/>
      <c r="H49" s="102"/>
      <c r="I49" s="102"/>
      <c r="J49" s="102"/>
      <c r="K49" s="102"/>
      <c r="L49" s="102"/>
      <c r="M49" s="16"/>
      <c r="N49" s="103"/>
    </row>
    <row r="50" spans="1:14" hidden="1" outlineLevel="1" x14ac:dyDescent="0.4">
      <c r="A50" s="92"/>
      <c r="B50" s="104">
        <v>2</v>
      </c>
      <c r="C50" s="103" t="s">
        <v>26</v>
      </c>
      <c r="D50" s="17"/>
      <c r="E50" s="17"/>
      <c r="F50" s="16"/>
      <c r="G50" s="16"/>
      <c r="H50" s="102"/>
      <c r="I50" s="102"/>
      <c r="J50" s="102"/>
      <c r="K50" s="102"/>
      <c r="L50" s="102"/>
      <c r="M50" s="16"/>
      <c r="N50" s="103"/>
    </row>
    <row r="51" spans="1:14" hidden="1" outlineLevel="1" x14ac:dyDescent="0.4">
      <c r="A51" s="92"/>
      <c r="B51" s="100" t="s">
        <v>6</v>
      </c>
      <c r="C51" s="103" t="s">
        <v>54</v>
      </c>
      <c r="D51" s="17"/>
      <c r="E51" s="17"/>
      <c r="F51" s="16"/>
      <c r="G51" s="16"/>
      <c r="H51" s="102"/>
      <c r="I51" s="102"/>
      <c r="J51" s="102"/>
      <c r="K51" s="102"/>
      <c r="L51" s="102"/>
      <c r="M51" s="16"/>
      <c r="N51" s="103"/>
    </row>
    <row r="52" spans="1:14" hidden="1" outlineLevel="1" x14ac:dyDescent="0.4">
      <c r="A52" s="92"/>
      <c r="B52" s="100" t="s">
        <v>6</v>
      </c>
      <c r="C52" s="103" t="s">
        <v>55</v>
      </c>
      <c r="D52" s="17"/>
      <c r="E52" s="17"/>
      <c r="F52" s="16"/>
      <c r="G52" s="16"/>
      <c r="H52" s="102"/>
      <c r="I52" s="102"/>
      <c r="J52" s="102"/>
      <c r="K52" s="102"/>
      <c r="L52" s="102"/>
      <c r="M52" s="16"/>
      <c r="N52" s="103"/>
    </row>
    <row r="53" spans="1:14" hidden="1" outlineLevel="1" x14ac:dyDescent="0.4">
      <c r="A53" s="92"/>
      <c r="B53" s="100" t="s">
        <v>6</v>
      </c>
      <c r="C53" s="103" t="s">
        <v>56</v>
      </c>
      <c r="D53" s="17"/>
      <c r="E53" s="17"/>
      <c r="F53" s="16"/>
      <c r="G53" s="16"/>
      <c r="H53" s="102"/>
      <c r="I53" s="102"/>
      <c r="J53" s="102"/>
      <c r="K53" s="102"/>
      <c r="L53" s="102"/>
      <c r="M53" s="16"/>
      <c r="N53" s="103"/>
    </row>
    <row r="54" spans="1:14" hidden="1" outlineLevel="1" x14ac:dyDescent="0.4">
      <c r="A54" s="92"/>
      <c r="B54" s="100"/>
      <c r="C54" s="103"/>
      <c r="D54" s="17"/>
      <c r="E54" s="17"/>
      <c r="F54" s="16"/>
      <c r="G54" s="16"/>
      <c r="H54" s="102"/>
      <c r="I54" s="102"/>
      <c r="J54" s="102"/>
      <c r="K54" s="102"/>
      <c r="L54" s="102"/>
      <c r="M54" s="16"/>
      <c r="N54" s="103"/>
    </row>
    <row r="55" spans="1:14" hidden="1" outlineLevel="1" x14ac:dyDescent="0.4">
      <c r="A55" s="92"/>
      <c r="B55" s="104">
        <v>3</v>
      </c>
      <c r="C55" s="103" t="s">
        <v>27</v>
      </c>
      <c r="D55" s="17"/>
      <c r="E55" s="17"/>
      <c r="F55" s="16"/>
      <c r="G55" s="16"/>
      <c r="H55" s="102"/>
      <c r="I55" s="102"/>
      <c r="J55" s="102"/>
      <c r="K55" s="102"/>
      <c r="L55" s="102"/>
      <c r="M55" s="16"/>
      <c r="N55" s="103"/>
    </row>
    <row r="56" spans="1:14" hidden="1" outlineLevel="1" x14ac:dyDescent="0.4">
      <c r="A56" s="92"/>
      <c r="B56" s="100" t="s">
        <v>6</v>
      </c>
      <c r="C56" s="103" t="s">
        <v>54</v>
      </c>
      <c r="D56" s="17"/>
      <c r="E56" s="17"/>
      <c r="F56" s="16"/>
      <c r="G56" s="16"/>
      <c r="H56" s="102"/>
      <c r="I56" s="102"/>
      <c r="J56" s="102"/>
      <c r="K56" s="102"/>
      <c r="L56" s="102"/>
      <c r="M56" s="16"/>
      <c r="N56" s="103"/>
    </row>
    <row r="57" spans="1:14" hidden="1" outlineLevel="1" x14ac:dyDescent="0.4">
      <c r="A57" s="92"/>
      <c r="B57" s="100" t="s">
        <v>6</v>
      </c>
      <c r="C57" s="103" t="s">
        <v>56</v>
      </c>
      <c r="D57" s="17"/>
      <c r="E57" s="17"/>
      <c r="F57" s="16"/>
      <c r="G57" s="16"/>
      <c r="H57" s="102"/>
      <c r="I57" s="102"/>
      <c r="J57" s="102"/>
      <c r="K57" s="102"/>
      <c r="L57" s="102"/>
      <c r="M57" s="16"/>
      <c r="N57" s="103"/>
    </row>
    <row r="58" spans="1:14" hidden="1" outlineLevel="1" x14ac:dyDescent="0.4">
      <c r="A58" s="92"/>
      <c r="B58" s="100" t="s">
        <v>6</v>
      </c>
      <c r="C58" s="103" t="s">
        <v>57</v>
      </c>
      <c r="D58" s="17"/>
      <c r="E58" s="17"/>
      <c r="F58" s="16"/>
      <c r="G58" s="16"/>
      <c r="H58" s="102"/>
      <c r="I58" s="102"/>
      <c r="J58" s="102"/>
      <c r="K58" s="102"/>
      <c r="L58" s="102"/>
      <c r="M58" s="16"/>
      <c r="N58" s="103"/>
    </row>
    <row r="59" spans="1:14" hidden="1" outlineLevel="1" x14ac:dyDescent="0.4">
      <c r="A59" s="92"/>
      <c r="B59" s="104"/>
      <c r="C59" s="103"/>
      <c r="D59" s="17"/>
      <c r="E59" s="17"/>
      <c r="F59" s="16"/>
      <c r="G59" s="16"/>
      <c r="H59" s="102"/>
      <c r="I59" s="102"/>
      <c r="J59" s="102"/>
      <c r="K59" s="102"/>
      <c r="L59" s="102"/>
      <c r="M59" s="16"/>
      <c r="N59" s="103"/>
    </row>
    <row r="60" spans="1:14" s="2" customFormat="1" collapsed="1" x14ac:dyDescent="0.4">
      <c r="A60" s="3"/>
      <c r="B60" s="48" t="s">
        <v>99</v>
      </c>
      <c r="C60" s="49" t="s">
        <v>46</v>
      </c>
      <c r="D60" s="51">
        <f>SUM(D61:D64)</f>
        <v>0.15</v>
      </c>
      <c r="E60" s="51"/>
      <c r="F60" s="54"/>
      <c r="G60" s="54"/>
      <c r="H60" s="59"/>
      <c r="I60" s="59"/>
      <c r="J60" s="59"/>
      <c r="K60" s="59"/>
      <c r="L60" s="59"/>
      <c r="M60" s="54">
        <f>SUM(M61:M64)</f>
        <v>15</v>
      </c>
      <c r="N60" s="49"/>
    </row>
    <row r="61" spans="1:14" x14ac:dyDescent="0.4">
      <c r="A61" s="99" t="s">
        <v>118</v>
      </c>
      <c r="B61" s="100" t="s">
        <v>6</v>
      </c>
      <c r="C61" s="101" t="str">
        <f>VLOOKUP($A61,[2]PERTANYAAN!$A$18:$E$71,3,0)</f>
        <v>Antusiasme / Keinginan bergabung</v>
      </c>
      <c r="D61" s="46">
        <f>VLOOKUP($A61,[2]PERTANYAAN!$A$18:$E$71,5,0)</f>
        <v>7.4999999999999997E-2</v>
      </c>
      <c r="E61" s="17"/>
      <c r="F61" s="16"/>
      <c r="G61" s="16"/>
      <c r="H61" s="102"/>
      <c r="I61" s="102"/>
      <c r="J61" s="102"/>
      <c r="K61" s="102"/>
      <c r="L61" s="102" t="s">
        <v>16</v>
      </c>
      <c r="M61" s="16">
        <f t="shared" ref="M61:M63" si="2">IF(H61="V",$D61*H$15,IF(I61="V",$D61*I$15,IF(J61="V",$D61*J$15,IF(K61="V",$D61*K$15,IF(L61="V",$D61*L$15,0)))))*100</f>
        <v>7.5</v>
      </c>
      <c r="N61" s="103"/>
    </row>
    <row r="62" spans="1:14" x14ac:dyDescent="0.4">
      <c r="A62" s="99" t="s">
        <v>119</v>
      </c>
      <c r="B62" s="100" t="s">
        <v>6</v>
      </c>
      <c r="C62" s="101" t="str">
        <f>VLOOKUP($A62,[2]PERTANYAAN!$A$18:$E$71,3,0)</f>
        <v>Inisiatif</v>
      </c>
      <c r="D62" s="46">
        <f>VLOOKUP($A62,[2]PERTANYAAN!$A$18:$E$71,5,0)</f>
        <v>0.05</v>
      </c>
      <c r="E62" s="17"/>
      <c r="F62" s="16"/>
      <c r="G62" s="16"/>
      <c r="H62" s="102"/>
      <c r="I62" s="102"/>
      <c r="J62" s="102"/>
      <c r="K62" s="102"/>
      <c r="L62" s="102" t="s">
        <v>16</v>
      </c>
      <c r="M62" s="16">
        <f t="shared" si="2"/>
        <v>5</v>
      </c>
      <c r="N62" s="103"/>
    </row>
    <row r="63" spans="1:14" x14ac:dyDescent="0.4">
      <c r="A63" s="99" t="s">
        <v>120</v>
      </c>
      <c r="B63" s="100" t="s">
        <v>6</v>
      </c>
      <c r="C63" s="101" t="str">
        <f>VLOOKUP($A63,[2]PERTANYAAN!$A$18:$E$71,3,0)</f>
        <v>Adaptif</v>
      </c>
      <c r="D63" s="46">
        <f>VLOOKUP($A63,[2]PERTANYAAN!$A$18:$E$71,5,0)</f>
        <v>2.5000000000000001E-2</v>
      </c>
      <c r="E63" s="17"/>
      <c r="F63" s="16"/>
      <c r="G63" s="16"/>
      <c r="H63" s="102"/>
      <c r="I63" s="102"/>
      <c r="J63" s="102"/>
      <c r="K63" s="102"/>
      <c r="L63" s="102" t="s">
        <v>16</v>
      </c>
      <c r="M63" s="16">
        <f t="shared" si="2"/>
        <v>2.5</v>
      </c>
      <c r="N63" s="103"/>
    </row>
    <row r="64" spans="1:14" x14ac:dyDescent="0.4">
      <c r="A64" s="92"/>
      <c r="B64" s="104"/>
      <c r="C64" s="103"/>
      <c r="D64" s="17"/>
      <c r="E64" s="17"/>
      <c r="F64" s="16"/>
      <c r="G64" s="16"/>
      <c r="H64" s="102"/>
      <c r="I64" s="102"/>
      <c r="J64" s="102"/>
      <c r="K64" s="102"/>
      <c r="L64" s="102"/>
      <c r="M64" s="16"/>
      <c r="N64" s="103"/>
    </row>
    <row r="65" spans="1:14" s="2" customFormat="1" x14ac:dyDescent="0.4">
      <c r="A65" s="3"/>
      <c r="B65" s="48" t="s">
        <v>100</v>
      </c>
      <c r="C65" s="49" t="s">
        <v>48</v>
      </c>
      <c r="D65" s="51">
        <f>SUM(D66:D68)</f>
        <v>0.05</v>
      </c>
      <c r="E65" s="51"/>
      <c r="F65" s="54"/>
      <c r="G65" s="54"/>
      <c r="H65" s="59"/>
      <c r="I65" s="59"/>
      <c r="J65" s="59"/>
      <c r="K65" s="59"/>
      <c r="L65" s="59"/>
      <c r="M65" s="54">
        <f>SUM(M66:M68)</f>
        <v>5</v>
      </c>
      <c r="N65" s="49"/>
    </row>
    <row r="66" spans="1:14" x14ac:dyDescent="0.4">
      <c r="A66" s="99" t="s">
        <v>121</v>
      </c>
      <c r="B66" s="100" t="s">
        <v>6</v>
      </c>
      <c r="C66" s="101" t="str">
        <f>VLOOKUP($A66,[2]PERTANYAAN!$A$18:$E$71,3,0)</f>
        <v>Ekspektasi Salary (Mengukur Budget &amp; Skill)</v>
      </c>
      <c r="D66" s="46">
        <f>VLOOKUP($A66,[2]PERTANYAAN!$A$18:$E$71,5,0)</f>
        <v>0.04</v>
      </c>
      <c r="E66" s="17"/>
      <c r="F66" s="16"/>
      <c r="G66" s="16"/>
      <c r="H66" s="102"/>
      <c r="I66" s="102"/>
      <c r="J66" s="102"/>
      <c r="K66" s="102"/>
      <c r="L66" s="102" t="s">
        <v>16</v>
      </c>
      <c r="M66" s="16">
        <f t="shared" ref="M66:M67" si="3">IF(H66="V",$D66*H$15,IF(I66="V",$D66*I$15,IF(J66="V",$D66*J$15,IF(K66="V",$D66*K$15,IF(L66="V",$D66*L$15,0)))))*100</f>
        <v>4</v>
      </c>
      <c r="N66" s="103"/>
    </row>
    <row r="67" spans="1:14" x14ac:dyDescent="0.4">
      <c r="A67" s="99" t="s">
        <v>122</v>
      </c>
      <c r="B67" s="100" t="s">
        <v>6</v>
      </c>
      <c r="C67" s="101" t="str">
        <f>VLOOKUP($A67,[2]PERTANYAAN!$A$18:$E$71,3,0)</f>
        <v>Tujuan Karir</v>
      </c>
      <c r="D67" s="46">
        <f>VLOOKUP($A67,[2]PERTANYAAN!$A$18:$E$71,5,0)</f>
        <v>0.01</v>
      </c>
      <c r="E67" s="17"/>
      <c r="F67" s="16"/>
      <c r="G67" s="16"/>
      <c r="H67" s="102"/>
      <c r="I67" s="102"/>
      <c r="J67" s="102"/>
      <c r="K67" s="102"/>
      <c r="L67" s="102" t="s">
        <v>16</v>
      </c>
      <c r="M67" s="16">
        <f t="shared" si="3"/>
        <v>1</v>
      </c>
      <c r="N67" s="103"/>
    </row>
    <row r="68" spans="1:14" x14ac:dyDescent="0.4">
      <c r="A68" s="99"/>
      <c r="B68" s="104"/>
      <c r="C68" s="103"/>
      <c r="D68" s="17"/>
      <c r="E68" s="17"/>
      <c r="F68" s="16"/>
      <c r="G68" s="16"/>
      <c r="H68" s="102"/>
      <c r="I68" s="102"/>
      <c r="J68" s="102"/>
      <c r="K68" s="102"/>
      <c r="L68" s="102"/>
      <c r="M68" s="16"/>
      <c r="N68" s="103"/>
    </row>
    <row r="69" spans="1:14" s="2" customFormat="1" x14ac:dyDescent="0.4">
      <c r="A69" s="3"/>
      <c r="B69" s="48" t="s">
        <v>101</v>
      </c>
      <c r="C69" s="49" t="s">
        <v>134</v>
      </c>
      <c r="D69" s="51">
        <f>SUM(D70:D70)</f>
        <v>0.05</v>
      </c>
      <c r="E69" s="51"/>
      <c r="F69" s="54"/>
      <c r="G69" s="54"/>
      <c r="H69" s="59"/>
      <c r="I69" s="59"/>
      <c r="J69" s="59"/>
      <c r="K69" s="59"/>
      <c r="L69" s="59"/>
      <c r="M69" s="54">
        <f>SUM(M70)</f>
        <v>5</v>
      </c>
      <c r="N69" s="49"/>
    </row>
    <row r="70" spans="1:14" x14ac:dyDescent="0.4">
      <c r="A70" s="99" t="s">
        <v>123</v>
      </c>
      <c r="B70" s="100" t="s">
        <v>6</v>
      </c>
      <c r="C70" s="101" t="str">
        <f>VLOOKUP($A70,[2]PERTANYAAN!$A$18:$E$71,3,0)</f>
        <v>Pertanyaan Spesifik User</v>
      </c>
      <c r="D70" s="46">
        <f>VLOOKUP($A70,[2]PERTANYAAN!$A$18:$E$71,5,0)</f>
        <v>0.05</v>
      </c>
      <c r="E70" s="17"/>
      <c r="F70" s="16"/>
      <c r="G70" s="16"/>
      <c r="H70" s="102"/>
      <c r="I70" s="102"/>
      <c r="J70" s="102"/>
      <c r="K70" s="102"/>
      <c r="L70" s="102" t="s">
        <v>16</v>
      </c>
      <c r="M70" s="16">
        <f t="shared" ref="M70" si="4">IF(H70="V",$D70*H$15,IF(I70="V",$D70*I$15,IF(J70="V",$D70*J$15,IF(K70="V",$D70*K$15,IF(L70="V",$D70*L$15,0)))))*100</f>
        <v>5</v>
      </c>
      <c r="N70" s="103"/>
    </row>
    <row r="71" spans="1:14" x14ac:dyDescent="0.4">
      <c r="B71" s="105"/>
      <c r="C71" s="106"/>
      <c r="D71" s="22"/>
      <c r="E71" s="22"/>
      <c r="F71" s="21"/>
      <c r="G71" s="21"/>
      <c r="H71" s="107"/>
      <c r="I71" s="107"/>
      <c r="J71" s="107"/>
      <c r="K71" s="107"/>
      <c r="L71" s="107"/>
      <c r="M71" s="21"/>
      <c r="N71" s="106"/>
    </row>
    <row r="73" spans="1:14" x14ac:dyDescent="0.4">
      <c r="H73" s="26" t="s">
        <v>61</v>
      </c>
    </row>
    <row r="74" spans="1:14" x14ac:dyDescent="0.4">
      <c r="H74" s="94" t="s">
        <v>39</v>
      </c>
      <c r="I74" s="94" t="s">
        <v>29</v>
      </c>
      <c r="J74" s="95" t="s">
        <v>69</v>
      </c>
    </row>
    <row r="75" spans="1:14" x14ac:dyDescent="0.4">
      <c r="H75" s="94" t="s">
        <v>40</v>
      </c>
      <c r="I75" s="94" t="s">
        <v>29</v>
      </c>
      <c r="J75" s="95" t="s">
        <v>70</v>
      </c>
    </row>
    <row r="76" spans="1:14" x14ac:dyDescent="0.4">
      <c r="H76" s="94" t="s">
        <v>41</v>
      </c>
      <c r="I76" s="94" t="s">
        <v>29</v>
      </c>
      <c r="J76" s="95" t="s">
        <v>71</v>
      </c>
    </row>
    <row r="77" spans="1:14" x14ac:dyDescent="0.4">
      <c r="H77" s="94" t="s">
        <v>42</v>
      </c>
      <c r="I77" s="94" t="s">
        <v>29</v>
      </c>
      <c r="J77" s="95" t="s">
        <v>72</v>
      </c>
    </row>
    <row r="78" spans="1:14" x14ac:dyDescent="0.4">
      <c r="H78" s="94" t="s">
        <v>43</v>
      </c>
      <c r="I78" s="94" t="s">
        <v>29</v>
      </c>
      <c r="J78" s="95" t="s">
        <v>73</v>
      </c>
    </row>
  </sheetData>
  <mergeCells count="8"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AECC-BAB6-4147-902E-7FCE9BE0E2EC}">
  <sheetPr>
    <tabColor rgb="FFFFC000"/>
  </sheetPr>
  <dimension ref="A1:O78"/>
  <sheetViews>
    <sheetView zoomScaleNormal="100" workbookViewId="0">
      <pane xSplit="1" ySplit="14" topLeftCell="B15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C13" sqref="C13:C14"/>
    </sheetView>
  </sheetViews>
  <sheetFormatPr defaultColWidth="8.84375" defaultRowHeight="14.6" outlineLevelRow="1" x14ac:dyDescent="0.4"/>
  <cols>
    <col min="1" max="1" width="17.69140625" style="93" customWidth="1"/>
    <col min="2" max="2" width="4.3046875" style="92" bestFit="1" customWidth="1"/>
    <col min="3" max="3" width="40.15234375" style="93" bestFit="1" customWidth="1"/>
    <col min="4" max="4" width="8.84375" style="5"/>
    <col min="5" max="5" width="1.69140625" style="5" customWidth="1"/>
    <col min="6" max="7" width="8.84375" style="4"/>
    <col min="8" max="12" width="8.84375" style="94"/>
    <col min="13" max="13" width="8.84375" style="4"/>
    <col min="14" max="14" width="16.84375" style="93" customWidth="1"/>
    <col min="15" max="16384" width="8.84375" style="93"/>
  </cols>
  <sheetData>
    <row r="1" spans="1:14" x14ac:dyDescent="0.4">
      <c r="A1" s="2" t="s">
        <v>125</v>
      </c>
    </row>
    <row r="2" spans="1:14" x14ac:dyDescent="0.4">
      <c r="A2" s="2" t="s">
        <v>0</v>
      </c>
    </row>
    <row r="5" spans="1:14" x14ac:dyDescent="0.4">
      <c r="A5" s="2" t="s">
        <v>1</v>
      </c>
      <c r="B5" s="92" t="s">
        <v>29</v>
      </c>
      <c r="C5" s="2" t="s">
        <v>152</v>
      </c>
    </row>
    <row r="6" spans="1:14" x14ac:dyDescent="0.4">
      <c r="A6" s="2" t="s">
        <v>20</v>
      </c>
      <c r="B6" s="92" t="s">
        <v>29</v>
      </c>
      <c r="C6" s="93" t="s">
        <v>31</v>
      </c>
    </row>
    <row r="7" spans="1:14" x14ac:dyDescent="0.4">
      <c r="A7" s="2" t="s">
        <v>32</v>
      </c>
      <c r="B7" s="92" t="s">
        <v>29</v>
      </c>
      <c r="C7" s="93" t="s">
        <v>33</v>
      </c>
    </row>
    <row r="8" spans="1:14" x14ac:dyDescent="0.4">
      <c r="A8" s="2" t="s">
        <v>34</v>
      </c>
      <c r="B8" s="92" t="s">
        <v>29</v>
      </c>
      <c r="C8" s="93" t="s">
        <v>35</v>
      </c>
    </row>
    <row r="9" spans="1:14" x14ac:dyDescent="0.4">
      <c r="A9" s="2" t="s">
        <v>28</v>
      </c>
      <c r="B9" s="92" t="s">
        <v>29</v>
      </c>
      <c r="C9" s="93" t="s">
        <v>83</v>
      </c>
    </row>
    <row r="10" spans="1:14" x14ac:dyDescent="0.4">
      <c r="A10" s="2" t="s">
        <v>38</v>
      </c>
      <c r="B10" s="92" t="s">
        <v>29</v>
      </c>
      <c r="C10" s="2" t="s">
        <v>88</v>
      </c>
      <c r="D10" s="6" t="s">
        <v>92</v>
      </c>
    </row>
    <row r="11" spans="1:14" x14ac:dyDescent="0.4">
      <c r="A11" s="2" t="s">
        <v>67</v>
      </c>
      <c r="B11" s="92" t="s">
        <v>29</v>
      </c>
      <c r="C11" s="24">
        <f>M16</f>
        <v>70</v>
      </c>
    </row>
    <row r="13" spans="1:14" s="2" customFormat="1" x14ac:dyDescent="0.4">
      <c r="A13" s="67" t="s">
        <v>124</v>
      </c>
      <c r="B13" s="68" t="s">
        <v>2</v>
      </c>
      <c r="C13" s="68" t="s">
        <v>3</v>
      </c>
      <c r="D13" s="70" t="s">
        <v>19</v>
      </c>
      <c r="E13" s="42"/>
      <c r="F13" s="65" t="s">
        <v>18</v>
      </c>
      <c r="G13" s="65"/>
      <c r="H13" s="68" t="s">
        <v>37</v>
      </c>
      <c r="I13" s="68"/>
      <c r="J13" s="68"/>
      <c r="K13" s="68"/>
      <c r="L13" s="68"/>
      <c r="M13" s="65" t="s">
        <v>17</v>
      </c>
      <c r="N13" s="66" t="s">
        <v>61</v>
      </c>
    </row>
    <row r="14" spans="1:14" s="2" customFormat="1" x14ac:dyDescent="0.4">
      <c r="A14" s="67"/>
      <c r="B14" s="68"/>
      <c r="C14" s="96"/>
      <c r="D14" s="71"/>
      <c r="E14" s="44"/>
      <c r="F14" s="43" t="s">
        <v>14</v>
      </c>
      <c r="G14" s="43" t="s">
        <v>15</v>
      </c>
      <c r="H14" s="41" t="s">
        <v>39</v>
      </c>
      <c r="I14" s="41" t="s">
        <v>40</v>
      </c>
      <c r="J14" s="41" t="s">
        <v>41</v>
      </c>
      <c r="K14" s="41" t="s">
        <v>42</v>
      </c>
      <c r="L14" s="41" t="s">
        <v>43</v>
      </c>
      <c r="M14" s="65"/>
      <c r="N14" s="66"/>
    </row>
    <row r="15" spans="1:14" s="2" customFormat="1" x14ac:dyDescent="0.4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4">
      <c r="A16" s="3"/>
      <c r="B16" s="39"/>
      <c r="C16" s="63" t="s">
        <v>65</v>
      </c>
      <c r="D16" s="39"/>
      <c r="E16" s="39"/>
      <c r="F16" s="61"/>
      <c r="G16" s="61"/>
      <c r="H16" s="39"/>
      <c r="I16" s="39"/>
      <c r="J16" s="39"/>
      <c r="K16" s="39"/>
      <c r="L16" s="39"/>
      <c r="M16" s="40">
        <f>M17+M21+M27+M43+M60+M65+M69</f>
        <v>70</v>
      </c>
      <c r="N16" s="35"/>
    </row>
    <row r="17" spans="1:15" x14ac:dyDescent="0.4">
      <c r="B17" s="48" t="s">
        <v>66</v>
      </c>
      <c r="C17" s="49" t="s">
        <v>8</v>
      </c>
      <c r="D17" s="51">
        <f>SUM(D18:D19)</f>
        <v>0.1</v>
      </c>
      <c r="E17" s="51"/>
      <c r="F17" s="54"/>
      <c r="G17" s="54"/>
      <c r="H17" s="97"/>
      <c r="I17" s="97"/>
      <c r="J17" s="97"/>
      <c r="K17" s="97"/>
      <c r="L17" s="97"/>
      <c r="M17" s="54">
        <f>SUM(M18:M20)</f>
        <v>6</v>
      </c>
      <c r="N17" s="98"/>
    </row>
    <row r="18" spans="1:15" x14ac:dyDescent="0.4">
      <c r="A18" s="99" t="s">
        <v>102</v>
      </c>
      <c r="B18" s="100">
        <v>1</v>
      </c>
      <c r="C18" s="101" t="str">
        <f>VLOOKUP($A18,[2]PERTANYAAN!$A$18:$E$71,3,0)</f>
        <v>Pengalaman di dalam Daniswara Group</v>
      </c>
      <c r="D18" s="46">
        <f>VLOOKUP($A18,[2]PERTANYAAN!$A$18:$E$71,5,0)</f>
        <v>0.06</v>
      </c>
      <c r="E18" s="17"/>
      <c r="F18" s="16" t="s">
        <v>16</v>
      </c>
      <c r="G18" s="16"/>
      <c r="H18" s="102"/>
      <c r="I18" s="102"/>
      <c r="J18" s="102"/>
      <c r="K18" s="102"/>
      <c r="L18" s="102"/>
      <c r="M18" s="16">
        <f>IF(F18="V",D18*100,0)</f>
        <v>6</v>
      </c>
      <c r="N18" s="103"/>
    </row>
    <row r="19" spans="1:15" x14ac:dyDescent="0.4">
      <c r="A19" s="99" t="s">
        <v>103</v>
      </c>
      <c r="B19" s="100">
        <f>B18+1</f>
        <v>2</v>
      </c>
      <c r="C19" s="101" t="str">
        <f>VLOOKUP($A19,[2]PERTANYAAN!$A$18:$E$71,3,0)</f>
        <v>Pengalaman di luar Daniswara Group</v>
      </c>
      <c r="D19" s="46">
        <f>VLOOKUP($A19,[2]PERTANYAAN!$A$18:$E$71,5,0)</f>
        <v>0.04</v>
      </c>
      <c r="E19" s="17"/>
      <c r="F19" s="16"/>
      <c r="G19" s="16"/>
      <c r="H19" s="102"/>
      <c r="I19" s="102"/>
      <c r="J19" s="102"/>
      <c r="K19" s="102"/>
      <c r="L19" s="102"/>
      <c r="M19" s="16">
        <f>IF(F19="V",D19*100,0)</f>
        <v>0</v>
      </c>
      <c r="N19" s="103"/>
    </row>
    <row r="20" spans="1:15" x14ac:dyDescent="0.4">
      <c r="A20" s="92"/>
      <c r="B20" s="104"/>
      <c r="C20" s="103"/>
      <c r="D20" s="17"/>
      <c r="E20" s="17"/>
      <c r="F20" s="16"/>
      <c r="G20" s="16"/>
      <c r="H20" s="102"/>
      <c r="I20" s="102"/>
      <c r="J20" s="102"/>
      <c r="K20" s="102"/>
      <c r="L20" s="102"/>
      <c r="M20" s="16"/>
      <c r="N20" s="103"/>
    </row>
    <row r="21" spans="1:15" x14ac:dyDescent="0.4">
      <c r="A21" s="92"/>
      <c r="B21" s="48" t="s">
        <v>42</v>
      </c>
      <c r="C21" s="49" t="s">
        <v>9</v>
      </c>
      <c r="D21" s="51">
        <f>SUM(D22:D25)</f>
        <v>0.05</v>
      </c>
      <c r="E21" s="51"/>
      <c r="F21" s="54"/>
      <c r="G21" s="54"/>
      <c r="H21" s="97"/>
      <c r="I21" s="97"/>
      <c r="J21" s="97"/>
      <c r="K21" s="97"/>
      <c r="L21" s="97"/>
      <c r="M21" s="54">
        <f>SUM(M22:M25)</f>
        <v>5</v>
      </c>
      <c r="N21" s="98"/>
    </row>
    <row r="22" spans="1:15" x14ac:dyDescent="0.4">
      <c r="A22" s="99" t="s">
        <v>104</v>
      </c>
      <c r="B22" s="100">
        <v>1</v>
      </c>
      <c r="C22" s="101" t="str">
        <f>VLOOKUP($A22,[2]PERTANYAAN!$A$18:$E$71,3,0)</f>
        <v>Identitas (KTP &amp; KK)</v>
      </c>
      <c r="D22" s="46">
        <f>VLOOKUP($A22,[2]PERTANYAAN!$A$18:$E$71,5,0)</f>
        <v>0.01</v>
      </c>
      <c r="E22" s="17"/>
      <c r="F22" s="16" t="s">
        <v>16</v>
      </c>
      <c r="G22" s="16"/>
      <c r="H22" s="102"/>
      <c r="I22" s="102"/>
      <c r="J22" s="102"/>
      <c r="K22" s="102"/>
      <c r="L22" s="102"/>
      <c r="M22" s="16">
        <f>IF(F22="V",D22*100,0)</f>
        <v>1</v>
      </c>
      <c r="N22" s="103"/>
    </row>
    <row r="23" spans="1:15" x14ac:dyDescent="0.4">
      <c r="A23" s="99" t="s">
        <v>105</v>
      </c>
      <c r="B23" s="100">
        <f>B22+1</f>
        <v>2</v>
      </c>
      <c r="C23" s="101" t="str">
        <f>VLOOKUP($A23,[2]PERTANYAAN!$A$18:$E$71,3,0)</f>
        <v>SIM A (utk jabatan di Divisi Operasi)</v>
      </c>
      <c r="D23" s="46">
        <f>VLOOKUP($A23,[2]PERTANYAAN!$A$18:$E$71,5,0)</f>
        <v>0.02</v>
      </c>
      <c r="E23" s="17"/>
      <c r="F23" s="16" t="s">
        <v>16</v>
      </c>
      <c r="G23" s="16"/>
      <c r="H23" s="102"/>
      <c r="I23" s="102"/>
      <c r="J23" s="102"/>
      <c r="K23" s="102"/>
      <c r="L23" s="102"/>
      <c r="M23" s="16">
        <f>IF(F23="V",D23*100,0)</f>
        <v>2</v>
      </c>
      <c r="N23" s="103"/>
      <c r="O23" s="93" t="s">
        <v>167</v>
      </c>
    </row>
    <row r="24" spans="1:15" x14ac:dyDescent="0.4">
      <c r="A24" s="99" t="s">
        <v>106</v>
      </c>
      <c r="B24" s="100">
        <f t="shared" ref="B24:B25" si="0">B23+1</f>
        <v>3</v>
      </c>
      <c r="C24" s="101" t="str">
        <f>VLOOKUP($A24,[2]PERTANYAAN!$A$18:$E$71,3,0)</f>
        <v>SIM C</v>
      </c>
      <c r="D24" s="46">
        <f>VLOOKUP($A24,[2]PERTANYAAN!$A$18:$E$71,5,0)</f>
        <v>0.01</v>
      </c>
      <c r="E24" s="17"/>
      <c r="F24" s="16" t="s">
        <v>16</v>
      </c>
      <c r="G24" s="16"/>
      <c r="H24" s="102"/>
      <c r="I24" s="102"/>
      <c r="J24" s="102"/>
      <c r="K24" s="102"/>
      <c r="L24" s="102"/>
      <c r="M24" s="16">
        <f>IF(F24="V",D24*100,0)</f>
        <v>1</v>
      </c>
      <c r="N24" s="103"/>
    </row>
    <row r="25" spans="1:15" x14ac:dyDescent="0.4">
      <c r="A25" s="99" t="s">
        <v>107</v>
      </c>
      <c r="B25" s="100">
        <f t="shared" si="0"/>
        <v>4</v>
      </c>
      <c r="C25" s="101" t="str">
        <f>VLOOKUP($A25,[2]PERTANYAAN!$A$18:$E$71,3,0)</f>
        <v>NPWP</v>
      </c>
      <c r="D25" s="46">
        <f>VLOOKUP($A25,[2]PERTANYAAN!$A$18:$E$71,5,0)</f>
        <v>0.01</v>
      </c>
      <c r="E25" s="17"/>
      <c r="F25" s="16" t="s">
        <v>16</v>
      </c>
      <c r="G25" s="16"/>
      <c r="H25" s="102"/>
      <c r="I25" s="102"/>
      <c r="J25" s="102"/>
      <c r="K25" s="102"/>
      <c r="L25" s="102"/>
      <c r="M25" s="16">
        <f>IF(F25="V",D25*100,0)</f>
        <v>1</v>
      </c>
      <c r="N25" s="103"/>
    </row>
    <row r="26" spans="1:15" x14ac:dyDescent="0.4">
      <c r="A26" s="92"/>
      <c r="B26" s="104"/>
      <c r="C26" s="103"/>
      <c r="D26" s="17"/>
      <c r="E26" s="17"/>
      <c r="F26" s="16"/>
      <c r="G26" s="16"/>
      <c r="H26" s="102"/>
      <c r="I26" s="102"/>
      <c r="J26" s="102"/>
      <c r="K26" s="102"/>
      <c r="L26" s="102"/>
      <c r="M26" s="16"/>
      <c r="N26" s="103"/>
    </row>
    <row r="27" spans="1:15" x14ac:dyDescent="0.4">
      <c r="A27" s="92"/>
      <c r="B27" s="48" t="s">
        <v>97</v>
      </c>
      <c r="C27" s="49" t="s">
        <v>21</v>
      </c>
      <c r="D27" s="51">
        <f>D28</f>
        <v>0.35000000000000003</v>
      </c>
      <c r="E27" s="57"/>
      <c r="F27" s="60"/>
      <c r="G27" s="60"/>
      <c r="H27" s="97"/>
      <c r="I27" s="97"/>
      <c r="J27" s="97"/>
      <c r="K27" s="97"/>
      <c r="L27" s="97"/>
      <c r="M27" s="54">
        <f>M28</f>
        <v>28</v>
      </c>
      <c r="N27" s="98"/>
    </row>
    <row r="28" spans="1:15" x14ac:dyDescent="0.4">
      <c r="A28" s="99" t="s">
        <v>108</v>
      </c>
      <c r="B28" s="100">
        <v>1</v>
      </c>
      <c r="C28" s="101" t="str">
        <f>VLOOKUP($A28,[2]PERTANYAAN!$A$18:$E$71,3,0)</f>
        <v>Operasi / Logistik</v>
      </c>
      <c r="D28" s="46">
        <f>VLOOKUP($A28,[2]PERTANYAAN!$A$18:$E$71,5,0)</f>
        <v>0.35000000000000003</v>
      </c>
      <c r="E28" s="17"/>
      <c r="F28" s="16"/>
      <c r="G28" s="16"/>
      <c r="H28" s="102"/>
      <c r="I28" s="102"/>
      <c r="J28" s="102"/>
      <c r="K28" s="102"/>
      <c r="L28" s="102"/>
      <c r="M28" s="16">
        <f>SUM(M29:M33)</f>
        <v>28</v>
      </c>
      <c r="N28" s="103"/>
    </row>
    <row r="29" spans="1:15" x14ac:dyDescent="0.4">
      <c r="A29" s="99" t="s">
        <v>109</v>
      </c>
      <c r="B29" s="100" t="s">
        <v>6</v>
      </c>
      <c r="C29" s="101" t="str">
        <f>VLOOKUP($A29,[2]PERTANYAAN!$A$18:$E$71,3,0)</f>
        <v>Skill Mengemudi</v>
      </c>
      <c r="D29" s="46">
        <f>VLOOKUP($A29,[2]PERTANYAAN!$A$18:$E$71,5,0)</f>
        <v>0.15</v>
      </c>
      <c r="E29" s="17"/>
      <c r="F29" s="16"/>
      <c r="G29" s="16"/>
      <c r="H29" s="102"/>
      <c r="I29" s="102"/>
      <c r="J29" s="102"/>
      <c r="K29" s="102" t="s">
        <v>16</v>
      </c>
      <c r="L29" s="102"/>
      <c r="M29" s="16">
        <f>IF(H29="V",$D29*H$15,IF(I29="V",$D29*I$15,IF(J29="V",$D29*J$15,IF(K29="V",$D29*K$15,IF(L29="V",$D29*L$15,0)))))*100</f>
        <v>12</v>
      </c>
      <c r="N29" s="103"/>
    </row>
    <row r="30" spans="1:15" x14ac:dyDescent="0.4">
      <c r="A30" s="99" t="s">
        <v>110</v>
      </c>
      <c r="B30" s="100" t="s">
        <v>6</v>
      </c>
      <c r="C30" s="101" t="str">
        <f>VLOOKUP($A30,[2]PERTANYAAN!$A$18:$E$71,3,0)</f>
        <v>Flow Administrasi Logistik</v>
      </c>
      <c r="D30" s="46">
        <f>VLOOKUP($A30,[2]PERTANYAAN!$A$18:$E$71,5,0)</f>
        <v>0.1</v>
      </c>
      <c r="E30" s="17"/>
      <c r="F30" s="16"/>
      <c r="G30" s="16"/>
      <c r="H30" s="102"/>
      <c r="I30" s="102"/>
      <c r="J30" s="102" t="s">
        <v>16</v>
      </c>
      <c r="K30" s="102"/>
      <c r="L30" s="102"/>
      <c r="M30" s="16">
        <f t="shared" ref="M30:M32" si="1">IF(H30="V",$D30*H$15,IF(I30="V",$D30*I$15,IF(J30="V",$D30*J$15,IF(K30="V",$D30*K$15,IF(L30="V",$D30*L$15,0)))))*100</f>
        <v>6</v>
      </c>
      <c r="N30" s="103"/>
    </row>
    <row r="31" spans="1:15" x14ac:dyDescent="0.4">
      <c r="A31" s="99" t="s">
        <v>111</v>
      </c>
      <c r="B31" s="100" t="s">
        <v>6</v>
      </c>
      <c r="C31" s="101" t="str">
        <f>VLOOKUP($A31,[2]PERTANYAAN!$A$18:$E$71,3,0)</f>
        <v>Pengetahuan terkait logistik</v>
      </c>
      <c r="D31" s="46">
        <f>VLOOKUP($A31,[2]PERTANYAAN!$A$18:$E$71,5,0)</f>
        <v>2.5000000000000001E-2</v>
      </c>
      <c r="E31" s="17"/>
      <c r="F31" s="16"/>
      <c r="G31" s="16"/>
      <c r="H31" s="102"/>
      <c r="I31" s="102"/>
      <c r="J31" s="102"/>
      <c r="K31" s="102"/>
      <c r="L31" s="102" t="s">
        <v>16</v>
      </c>
      <c r="M31" s="16">
        <f t="shared" si="1"/>
        <v>2.5</v>
      </c>
      <c r="N31" s="103"/>
    </row>
    <row r="32" spans="1:15" x14ac:dyDescent="0.4">
      <c r="A32" s="99" t="s">
        <v>112</v>
      </c>
      <c r="B32" s="100" t="s">
        <v>6</v>
      </c>
      <c r="C32" s="101" t="str">
        <f>VLOOKUP($A32,[2]PERTANYAAN!$A$18:$E$71,3,0)</f>
        <v>Pengalaman di Bongkar Muat</v>
      </c>
      <c r="D32" s="46">
        <f>VLOOKUP($A32,[2]PERTANYAAN!$A$18:$E$71,5,0)</f>
        <v>7.4999999999999997E-2</v>
      </c>
      <c r="E32" s="17"/>
      <c r="F32" s="16"/>
      <c r="G32" s="16"/>
      <c r="H32" s="102"/>
      <c r="I32" s="102"/>
      <c r="J32" s="102"/>
      <c r="K32" s="102"/>
      <c r="L32" s="102" t="s">
        <v>16</v>
      </c>
      <c r="M32" s="16">
        <f t="shared" si="1"/>
        <v>7.5</v>
      </c>
      <c r="N32" s="103"/>
    </row>
    <row r="33" spans="1:14" x14ac:dyDescent="0.4">
      <c r="A33" s="92"/>
      <c r="B33" s="100"/>
      <c r="C33" s="103"/>
      <c r="D33" s="17"/>
      <c r="E33" s="17"/>
      <c r="F33" s="16"/>
      <c r="G33" s="16"/>
      <c r="H33" s="102"/>
      <c r="I33" s="102"/>
      <c r="J33" s="102"/>
      <c r="K33" s="102"/>
      <c r="L33" s="102"/>
      <c r="M33" s="16"/>
      <c r="N33" s="103"/>
    </row>
    <row r="34" spans="1:14" hidden="1" outlineLevel="1" x14ac:dyDescent="0.4">
      <c r="A34" s="92"/>
      <c r="B34" s="100">
        <f>B28+1</f>
        <v>2</v>
      </c>
      <c r="C34" s="103" t="s">
        <v>22</v>
      </c>
      <c r="D34" s="17">
        <f>SUM(D35:D37)</f>
        <v>0.35</v>
      </c>
      <c r="E34" s="17"/>
      <c r="F34" s="16"/>
      <c r="G34" s="16"/>
      <c r="H34" s="102"/>
      <c r="I34" s="102"/>
      <c r="J34" s="102"/>
      <c r="K34" s="102"/>
      <c r="L34" s="102"/>
      <c r="M34" s="16"/>
      <c r="N34" s="103"/>
    </row>
    <row r="35" spans="1:14" hidden="1" outlineLevel="1" x14ac:dyDescent="0.4">
      <c r="A35" s="92"/>
      <c r="B35" s="100" t="s">
        <v>6</v>
      </c>
      <c r="C35" s="103" t="s">
        <v>44</v>
      </c>
      <c r="D35" s="17">
        <v>0.15</v>
      </c>
      <c r="E35" s="17"/>
      <c r="F35" s="16"/>
      <c r="G35" s="16"/>
      <c r="H35" s="102"/>
      <c r="I35" s="102"/>
      <c r="J35" s="102"/>
      <c r="K35" s="102"/>
      <c r="L35" s="102"/>
      <c r="M35" s="16"/>
      <c r="N35" s="103"/>
    </row>
    <row r="36" spans="1:14" hidden="1" outlineLevel="1" x14ac:dyDescent="0.4">
      <c r="A36" s="92"/>
      <c r="B36" s="100" t="s">
        <v>6</v>
      </c>
      <c r="C36" s="103" t="s">
        <v>50</v>
      </c>
      <c r="D36" s="17">
        <v>0.2</v>
      </c>
      <c r="E36" s="17"/>
      <c r="F36" s="16"/>
      <c r="G36" s="16"/>
      <c r="H36" s="102"/>
      <c r="I36" s="102"/>
      <c r="J36" s="102"/>
      <c r="K36" s="102"/>
      <c r="L36" s="102"/>
      <c r="M36" s="16"/>
      <c r="N36" s="103"/>
    </row>
    <row r="37" spans="1:14" hidden="1" outlineLevel="1" x14ac:dyDescent="0.4">
      <c r="A37" s="92"/>
      <c r="B37" s="100"/>
      <c r="C37" s="103"/>
      <c r="D37" s="17"/>
      <c r="E37" s="17"/>
      <c r="F37" s="16"/>
      <c r="G37" s="16"/>
      <c r="H37" s="102"/>
      <c r="I37" s="102"/>
      <c r="J37" s="102"/>
      <c r="K37" s="102"/>
      <c r="L37" s="102"/>
      <c r="M37" s="16"/>
      <c r="N37" s="103"/>
    </row>
    <row r="38" spans="1:14" hidden="1" outlineLevel="1" x14ac:dyDescent="0.4">
      <c r="A38" s="92"/>
      <c r="B38" s="104">
        <v>3</v>
      </c>
      <c r="C38" s="103" t="s">
        <v>23</v>
      </c>
      <c r="D38" s="17"/>
      <c r="E38" s="17"/>
      <c r="F38" s="16"/>
      <c r="G38" s="16"/>
      <c r="H38" s="102"/>
      <c r="I38" s="102"/>
      <c r="J38" s="102"/>
      <c r="K38" s="102"/>
      <c r="L38" s="102"/>
      <c r="M38" s="16"/>
      <c r="N38" s="103"/>
    </row>
    <row r="39" spans="1:14" hidden="1" outlineLevel="1" x14ac:dyDescent="0.4">
      <c r="A39" s="92"/>
      <c r="B39" s="100" t="s">
        <v>6</v>
      </c>
      <c r="C39" s="103" t="s">
        <v>52</v>
      </c>
      <c r="D39" s="17"/>
      <c r="E39" s="17"/>
      <c r="F39" s="16"/>
      <c r="G39" s="16"/>
      <c r="H39" s="102"/>
      <c r="I39" s="102"/>
      <c r="J39" s="102"/>
      <c r="K39" s="102"/>
      <c r="L39" s="102"/>
      <c r="M39" s="16"/>
      <c r="N39" s="103"/>
    </row>
    <row r="40" spans="1:14" hidden="1" outlineLevel="1" x14ac:dyDescent="0.4">
      <c r="A40" s="92"/>
      <c r="B40" s="100" t="s">
        <v>6</v>
      </c>
      <c r="C40" s="103" t="s">
        <v>53</v>
      </c>
      <c r="D40" s="17"/>
      <c r="E40" s="17"/>
      <c r="F40" s="16"/>
      <c r="G40" s="16"/>
      <c r="H40" s="102"/>
      <c r="I40" s="102"/>
      <c r="J40" s="102"/>
      <c r="K40" s="102"/>
      <c r="L40" s="102"/>
      <c r="M40" s="16"/>
      <c r="N40" s="103"/>
    </row>
    <row r="41" spans="1:14" hidden="1" outlineLevel="1" x14ac:dyDescent="0.4">
      <c r="A41" s="92"/>
      <c r="B41" s="100" t="s">
        <v>6</v>
      </c>
      <c r="C41" s="103"/>
      <c r="D41" s="17"/>
      <c r="E41" s="17"/>
      <c r="F41" s="16"/>
      <c r="G41" s="16"/>
      <c r="H41" s="102"/>
      <c r="I41" s="102"/>
      <c r="J41" s="102"/>
      <c r="K41" s="102"/>
      <c r="L41" s="102"/>
      <c r="M41" s="16"/>
      <c r="N41" s="103"/>
    </row>
    <row r="42" spans="1:14" hidden="1" outlineLevel="1" x14ac:dyDescent="0.4">
      <c r="A42" s="92"/>
      <c r="B42" s="104"/>
      <c r="C42" s="103"/>
      <c r="D42" s="17"/>
      <c r="E42" s="17"/>
      <c r="F42" s="16"/>
      <c r="G42" s="16"/>
      <c r="H42" s="102"/>
      <c r="I42" s="102"/>
      <c r="J42" s="102"/>
      <c r="K42" s="102"/>
      <c r="L42" s="102"/>
      <c r="M42" s="16"/>
      <c r="N42" s="103"/>
    </row>
    <row r="43" spans="1:14" s="2" customFormat="1" collapsed="1" x14ac:dyDescent="0.4">
      <c r="A43" s="3"/>
      <c r="B43" s="48" t="s">
        <v>98</v>
      </c>
      <c r="C43" s="49" t="s">
        <v>24</v>
      </c>
      <c r="D43" s="51">
        <f>D44</f>
        <v>0.25</v>
      </c>
      <c r="E43" s="51"/>
      <c r="F43" s="54"/>
      <c r="G43" s="54"/>
      <c r="H43" s="59"/>
      <c r="I43" s="59"/>
      <c r="J43" s="59"/>
      <c r="K43" s="59"/>
      <c r="L43" s="59"/>
      <c r="M43" s="54">
        <f>M44</f>
        <v>16.5</v>
      </c>
      <c r="N43" s="49"/>
    </row>
    <row r="44" spans="1:14" x14ac:dyDescent="0.4">
      <c r="A44" s="92" t="s">
        <v>113</v>
      </c>
      <c r="B44" s="104">
        <v>1</v>
      </c>
      <c r="C44" s="101" t="str">
        <f>VLOOKUP($A44,[2]PERTANYAAN!$A$18:$E$71,3,0)</f>
        <v>Staff</v>
      </c>
      <c r="D44" s="46">
        <f>VLOOKUP($A44,[2]PERTANYAAN!$A$18:$E$71,5,0)</f>
        <v>0.25</v>
      </c>
      <c r="E44" s="17"/>
      <c r="F44" s="16"/>
      <c r="G44" s="16"/>
      <c r="H44" s="102"/>
      <c r="I44" s="102"/>
      <c r="J44" s="102"/>
      <c r="K44" s="102"/>
      <c r="L44" s="102"/>
      <c r="M44" s="16">
        <f>SUM(M45:M48)</f>
        <v>16.5</v>
      </c>
      <c r="N44" s="103"/>
    </row>
    <row r="45" spans="1:14" x14ac:dyDescent="0.4">
      <c r="A45" s="99" t="s">
        <v>114</v>
      </c>
      <c r="B45" s="100" t="s">
        <v>6</v>
      </c>
      <c r="C45" s="101" t="str">
        <f>VLOOKUP($A45,[2]PERTANYAAN!$A$18:$E$71,3,0)</f>
        <v>Kepemimpinan</v>
      </c>
      <c r="D45" s="46">
        <f>VLOOKUP($A45,[2]PERTANYAAN!$A$18:$E$71,5,0)</f>
        <v>2.5000000000000001E-2</v>
      </c>
      <c r="E45" s="17"/>
      <c r="F45" s="16"/>
      <c r="G45" s="16"/>
      <c r="H45" s="102" t="s">
        <v>16</v>
      </c>
      <c r="I45" s="102"/>
      <c r="J45" s="102"/>
      <c r="K45" s="102"/>
      <c r="L45" s="102"/>
      <c r="M45" s="16">
        <f>IF(H45="V",$D45*H$15,IF(I45="V",$D45*I$15,IF(J45="V",$D45*J$15,IF(K45="V",$D45*K$15,IF(L45="V",$D45*L$15,0)))))*100</f>
        <v>0.50000000000000011</v>
      </c>
      <c r="N45" s="103"/>
    </row>
    <row r="46" spans="1:14" x14ac:dyDescent="0.4">
      <c r="A46" s="99" t="s">
        <v>115</v>
      </c>
      <c r="B46" s="100" t="s">
        <v>6</v>
      </c>
      <c r="C46" s="101" t="str">
        <f>VLOOKUP($A46,[2]PERTANYAAN!$A$18:$E$71,3,0)</f>
        <v>Komunikasi</v>
      </c>
      <c r="D46" s="46">
        <f>VLOOKUP($A46,[2]PERTANYAAN!$A$18:$E$71,5,0)</f>
        <v>0.1</v>
      </c>
      <c r="E46" s="17"/>
      <c r="F46" s="16"/>
      <c r="G46" s="16"/>
      <c r="H46" s="102"/>
      <c r="I46" s="102"/>
      <c r="J46" s="102" t="s">
        <v>16</v>
      </c>
      <c r="K46" s="102"/>
      <c r="L46" s="102"/>
      <c r="M46" s="16">
        <f>IF(H46="V",$D46*H$15,IF(I46="V",$D46*I$15,IF(J46="V",$D46*J$15,IF(K46="V",$D46*K$15,IF(L46="V",$D46*L$15,0)))))*100</f>
        <v>6</v>
      </c>
      <c r="N46" s="103"/>
    </row>
    <row r="47" spans="1:14" x14ac:dyDescent="0.4">
      <c r="A47" s="99" t="s">
        <v>116</v>
      </c>
      <c r="B47" s="100" t="s">
        <v>6</v>
      </c>
      <c r="C47" s="101" t="str">
        <f>VLOOKUP($A47,[2]PERTANYAAN!$A$18:$E$71,3,0)</f>
        <v>Patuh pada Peraturan / Commitment</v>
      </c>
      <c r="D47" s="46">
        <f>VLOOKUP($A47,[2]PERTANYAAN!$A$18:$E$71,5,0)</f>
        <v>0.05</v>
      </c>
      <c r="E47" s="17"/>
      <c r="F47" s="16"/>
      <c r="G47" s="16"/>
      <c r="H47" s="102"/>
      <c r="I47" s="102"/>
      <c r="J47" s="102"/>
      <c r="K47" s="102" t="s">
        <v>16</v>
      </c>
      <c r="L47" s="102"/>
      <c r="M47" s="16">
        <f>IF(H47="V",$D47*H$15,IF(I47="V",$D47*I$15,IF(J47="V",$D47*J$15,IF(K47="V",$D47*K$15,IF(L47="V",$D47*L$15,0)))))*100</f>
        <v>4.0000000000000009</v>
      </c>
      <c r="N47" s="103"/>
    </row>
    <row r="48" spans="1:14" x14ac:dyDescent="0.4">
      <c r="A48" s="99" t="s">
        <v>117</v>
      </c>
      <c r="B48" s="100" t="s">
        <v>6</v>
      </c>
      <c r="C48" s="101" t="str">
        <f>VLOOKUP($A48,[2]PERTANYAAN!$A$18:$E$71,3,0)</f>
        <v>Determinasi thd tekanan</v>
      </c>
      <c r="D48" s="46">
        <f>VLOOKUP($A48,[2]PERTANYAAN!$A$18:$E$71,5,0)</f>
        <v>7.4999999999999997E-2</v>
      </c>
      <c r="E48" s="17"/>
      <c r="F48" s="16"/>
      <c r="G48" s="16"/>
      <c r="H48" s="102"/>
      <c r="I48" s="102"/>
      <c r="J48" s="102"/>
      <c r="K48" s="102" t="s">
        <v>16</v>
      </c>
      <c r="L48" s="102"/>
      <c r="M48" s="16">
        <f>IF(H48="V",$D48*H$15,IF(I48="V",$D48*I$15,IF(J48="V",$D48*J$15,IF(K48="V",$D48*K$15,IF(L48="V",$D48*L$15,0)))))*100</f>
        <v>6</v>
      </c>
      <c r="N48" s="103"/>
    </row>
    <row r="49" spans="1:14" x14ac:dyDescent="0.4">
      <c r="A49" s="92"/>
      <c r="B49" s="100"/>
      <c r="C49" s="103"/>
      <c r="D49" s="17"/>
      <c r="E49" s="17"/>
      <c r="F49" s="16"/>
      <c r="G49" s="16"/>
      <c r="H49" s="102"/>
      <c r="I49" s="102"/>
      <c r="J49" s="102"/>
      <c r="K49" s="102"/>
      <c r="L49" s="102"/>
      <c r="M49" s="16"/>
      <c r="N49" s="103"/>
    </row>
    <row r="50" spans="1:14" hidden="1" outlineLevel="1" x14ac:dyDescent="0.4">
      <c r="A50" s="92"/>
      <c r="B50" s="104">
        <v>2</v>
      </c>
      <c r="C50" s="103" t="s">
        <v>26</v>
      </c>
      <c r="D50" s="17"/>
      <c r="E50" s="17"/>
      <c r="F50" s="16"/>
      <c r="G50" s="16"/>
      <c r="H50" s="102"/>
      <c r="I50" s="102"/>
      <c r="J50" s="102"/>
      <c r="K50" s="102"/>
      <c r="L50" s="102"/>
      <c r="M50" s="16"/>
      <c r="N50" s="103"/>
    </row>
    <row r="51" spans="1:14" hidden="1" outlineLevel="1" x14ac:dyDescent="0.4">
      <c r="A51" s="92"/>
      <c r="B51" s="100" t="s">
        <v>6</v>
      </c>
      <c r="C51" s="103" t="s">
        <v>54</v>
      </c>
      <c r="D51" s="17"/>
      <c r="E51" s="17"/>
      <c r="F51" s="16"/>
      <c r="G51" s="16"/>
      <c r="H51" s="102"/>
      <c r="I51" s="102"/>
      <c r="J51" s="102"/>
      <c r="K51" s="102"/>
      <c r="L51" s="102"/>
      <c r="M51" s="16"/>
      <c r="N51" s="103"/>
    </row>
    <row r="52" spans="1:14" hidden="1" outlineLevel="1" x14ac:dyDescent="0.4">
      <c r="A52" s="92"/>
      <c r="B52" s="100" t="s">
        <v>6</v>
      </c>
      <c r="C52" s="103" t="s">
        <v>55</v>
      </c>
      <c r="D52" s="17"/>
      <c r="E52" s="17"/>
      <c r="F52" s="16"/>
      <c r="G52" s="16"/>
      <c r="H52" s="102"/>
      <c r="I52" s="102"/>
      <c r="J52" s="102"/>
      <c r="K52" s="102"/>
      <c r="L52" s="102"/>
      <c r="M52" s="16"/>
      <c r="N52" s="103"/>
    </row>
    <row r="53" spans="1:14" hidden="1" outlineLevel="1" x14ac:dyDescent="0.4">
      <c r="A53" s="92"/>
      <c r="B53" s="100" t="s">
        <v>6</v>
      </c>
      <c r="C53" s="103" t="s">
        <v>56</v>
      </c>
      <c r="D53" s="17"/>
      <c r="E53" s="17"/>
      <c r="F53" s="16"/>
      <c r="G53" s="16"/>
      <c r="H53" s="102"/>
      <c r="I53" s="102"/>
      <c r="J53" s="102"/>
      <c r="K53" s="102"/>
      <c r="L53" s="102"/>
      <c r="M53" s="16"/>
      <c r="N53" s="103"/>
    </row>
    <row r="54" spans="1:14" hidden="1" outlineLevel="1" x14ac:dyDescent="0.4">
      <c r="A54" s="92"/>
      <c r="B54" s="100"/>
      <c r="C54" s="103"/>
      <c r="D54" s="17"/>
      <c r="E54" s="17"/>
      <c r="F54" s="16"/>
      <c r="G54" s="16"/>
      <c r="H54" s="102"/>
      <c r="I54" s="102"/>
      <c r="J54" s="102"/>
      <c r="K54" s="102"/>
      <c r="L54" s="102"/>
      <c r="M54" s="16"/>
      <c r="N54" s="103"/>
    </row>
    <row r="55" spans="1:14" hidden="1" outlineLevel="1" x14ac:dyDescent="0.4">
      <c r="A55" s="92"/>
      <c r="B55" s="104">
        <v>3</v>
      </c>
      <c r="C55" s="103" t="s">
        <v>27</v>
      </c>
      <c r="D55" s="17"/>
      <c r="E55" s="17"/>
      <c r="F55" s="16"/>
      <c r="G55" s="16"/>
      <c r="H55" s="102"/>
      <c r="I55" s="102"/>
      <c r="J55" s="102"/>
      <c r="K55" s="102"/>
      <c r="L55" s="102"/>
      <c r="M55" s="16"/>
      <c r="N55" s="103"/>
    </row>
    <row r="56" spans="1:14" hidden="1" outlineLevel="1" x14ac:dyDescent="0.4">
      <c r="A56" s="92"/>
      <c r="B56" s="100" t="s">
        <v>6</v>
      </c>
      <c r="C56" s="103" t="s">
        <v>54</v>
      </c>
      <c r="D56" s="17"/>
      <c r="E56" s="17"/>
      <c r="F56" s="16"/>
      <c r="G56" s="16"/>
      <c r="H56" s="102"/>
      <c r="I56" s="102"/>
      <c r="J56" s="102"/>
      <c r="K56" s="102"/>
      <c r="L56" s="102"/>
      <c r="M56" s="16"/>
      <c r="N56" s="103"/>
    </row>
    <row r="57" spans="1:14" hidden="1" outlineLevel="1" x14ac:dyDescent="0.4">
      <c r="A57" s="92"/>
      <c r="B57" s="100" t="s">
        <v>6</v>
      </c>
      <c r="C57" s="103" t="s">
        <v>56</v>
      </c>
      <c r="D57" s="17"/>
      <c r="E57" s="17"/>
      <c r="F57" s="16"/>
      <c r="G57" s="16"/>
      <c r="H57" s="102"/>
      <c r="I57" s="102"/>
      <c r="J57" s="102"/>
      <c r="K57" s="102"/>
      <c r="L57" s="102"/>
      <c r="M57" s="16"/>
      <c r="N57" s="103"/>
    </row>
    <row r="58" spans="1:14" hidden="1" outlineLevel="1" x14ac:dyDescent="0.4">
      <c r="A58" s="92"/>
      <c r="B58" s="100" t="s">
        <v>6</v>
      </c>
      <c r="C58" s="103" t="s">
        <v>57</v>
      </c>
      <c r="D58" s="17"/>
      <c r="E58" s="17"/>
      <c r="F58" s="16"/>
      <c r="G58" s="16"/>
      <c r="H58" s="102"/>
      <c r="I58" s="102"/>
      <c r="J58" s="102"/>
      <c r="K58" s="102"/>
      <c r="L58" s="102"/>
      <c r="M58" s="16"/>
      <c r="N58" s="103"/>
    </row>
    <row r="59" spans="1:14" hidden="1" outlineLevel="1" x14ac:dyDescent="0.4">
      <c r="A59" s="92"/>
      <c r="B59" s="104"/>
      <c r="C59" s="103"/>
      <c r="D59" s="17"/>
      <c r="E59" s="17"/>
      <c r="F59" s="16"/>
      <c r="G59" s="16"/>
      <c r="H59" s="102"/>
      <c r="I59" s="102"/>
      <c r="J59" s="102"/>
      <c r="K59" s="102"/>
      <c r="L59" s="102"/>
      <c r="M59" s="16"/>
      <c r="N59" s="103"/>
    </row>
    <row r="60" spans="1:14" s="2" customFormat="1" collapsed="1" x14ac:dyDescent="0.4">
      <c r="A60" s="3"/>
      <c r="B60" s="48" t="s">
        <v>99</v>
      </c>
      <c r="C60" s="49" t="s">
        <v>46</v>
      </c>
      <c r="D60" s="51">
        <f>SUM(D61:D64)</f>
        <v>0.15</v>
      </c>
      <c r="E60" s="51"/>
      <c r="F60" s="54"/>
      <c r="G60" s="54"/>
      <c r="H60" s="59"/>
      <c r="I60" s="59"/>
      <c r="J60" s="59"/>
      <c r="K60" s="59"/>
      <c r="L60" s="59"/>
      <c r="M60" s="54">
        <f>SUM(M61:M64)</f>
        <v>8.5</v>
      </c>
      <c r="N60" s="49"/>
    </row>
    <row r="61" spans="1:14" x14ac:dyDescent="0.4">
      <c r="A61" s="99" t="s">
        <v>118</v>
      </c>
      <c r="B61" s="100" t="s">
        <v>6</v>
      </c>
      <c r="C61" s="101" t="str">
        <f>VLOOKUP($A61,[2]PERTANYAAN!$A$18:$E$71,3,0)</f>
        <v>Antusiasme / Keinginan bergabung</v>
      </c>
      <c r="D61" s="46">
        <f>VLOOKUP($A61,[2]PERTANYAAN!$A$18:$E$71,5,0)</f>
        <v>7.4999999999999997E-2</v>
      </c>
      <c r="E61" s="17"/>
      <c r="F61" s="16"/>
      <c r="G61" s="16"/>
      <c r="H61" s="102"/>
      <c r="I61" s="102"/>
      <c r="J61" s="102"/>
      <c r="K61" s="102" t="s">
        <v>16</v>
      </c>
      <c r="L61" s="102"/>
      <c r="M61" s="16">
        <f t="shared" ref="M61:M63" si="2">IF(H61="V",$D61*H$15,IF(I61="V",$D61*I$15,IF(J61="V",$D61*J$15,IF(K61="V",$D61*K$15,IF(L61="V",$D61*L$15,0)))))*100</f>
        <v>6</v>
      </c>
      <c r="N61" s="103"/>
    </row>
    <row r="62" spans="1:14" x14ac:dyDescent="0.4">
      <c r="A62" s="99" t="s">
        <v>119</v>
      </c>
      <c r="B62" s="100" t="s">
        <v>6</v>
      </c>
      <c r="C62" s="101" t="str">
        <f>VLOOKUP($A62,[2]PERTANYAAN!$A$18:$E$71,3,0)</f>
        <v>Inisiatif</v>
      </c>
      <c r="D62" s="46">
        <f>VLOOKUP($A62,[2]PERTANYAAN!$A$18:$E$71,5,0)</f>
        <v>0.05</v>
      </c>
      <c r="E62" s="17"/>
      <c r="F62" s="16"/>
      <c r="G62" s="16"/>
      <c r="H62" s="102" t="s">
        <v>16</v>
      </c>
      <c r="I62" s="102"/>
      <c r="J62" s="102"/>
      <c r="K62" s="102"/>
      <c r="L62" s="102"/>
      <c r="M62" s="16">
        <f t="shared" si="2"/>
        <v>1.0000000000000002</v>
      </c>
      <c r="N62" s="103"/>
    </row>
    <row r="63" spans="1:14" x14ac:dyDescent="0.4">
      <c r="A63" s="99" t="s">
        <v>120</v>
      </c>
      <c r="B63" s="100" t="s">
        <v>6</v>
      </c>
      <c r="C63" s="101" t="str">
        <f>VLOOKUP($A63,[2]PERTANYAAN!$A$18:$E$71,3,0)</f>
        <v>Adaptif</v>
      </c>
      <c r="D63" s="46">
        <f>VLOOKUP($A63,[2]PERTANYAAN!$A$18:$E$71,5,0)</f>
        <v>2.5000000000000001E-2</v>
      </c>
      <c r="E63" s="17"/>
      <c r="F63" s="16"/>
      <c r="G63" s="16"/>
      <c r="H63" s="102"/>
      <c r="I63" s="102"/>
      <c r="J63" s="102" t="s">
        <v>16</v>
      </c>
      <c r="K63" s="102"/>
      <c r="L63" s="102"/>
      <c r="M63" s="16">
        <f t="shared" si="2"/>
        <v>1.5</v>
      </c>
      <c r="N63" s="103"/>
    </row>
    <row r="64" spans="1:14" x14ac:dyDescent="0.4">
      <c r="A64" s="92"/>
      <c r="B64" s="104"/>
      <c r="C64" s="103"/>
      <c r="D64" s="17"/>
      <c r="E64" s="17"/>
      <c r="F64" s="16"/>
      <c r="G64" s="16"/>
      <c r="H64" s="102"/>
      <c r="I64" s="102"/>
      <c r="J64" s="102"/>
      <c r="K64" s="102"/>
      <c r="L64" s="102"/>
      <c r="M64" s="16"/>
      <c r="N64" s="103"/>
    </row>
    <row r="65" spans="1:14" s="2" customFormat="1" x14ac:dyDescent="0.4">
      <c r="A65" s="3"/>
      <c r="B65" s="48" t="s">
        <v>100</v>
      </c>
      <c r="C65" s="49" t="s">
        <v>48</v>
      </c>
      <c r="D65" s="51">
        <f>SUM(D66:D68)</f>
        <v>0.05</v>
      </c>
      <c r="E65" s="51"/>
      <c r="F65" s="54"/>
      <c r="G65" s="54"/>
      <c r="H65" s="59"/>
      <c r="I65" s="59"/>
      <c r="J65" s="59"/>
      <c r="K65" s="59"/>
      <c r="L65" s="59"/>
      <c r="M65" s="54">
        <f>SUM(M66:M68)</f>
        <v>3</v>
      </c>
      <c r="N65" s="49"/>
    </row>
    <row r="66" spans="1:14" x14ac:dyDescent="0.4">
      <c r="A66" s="99" t="s">
        <v>121</v>
      </c>
      <c r="B66" s="100" t="s">
        <v>6</v>
      </c>
      <c r="C66" s="101" t="str">
        <f>VLOOKUP($A66,[2]PERTANYAAN!$A$18:$E$71,3,0)</f>
        <v>Ekspektasi Salary (Mengukur Budget &amp; Skill)</v>
      </c>
      <c r="D66" s="46">
        <f>VLOOKUP($A66,[2]PERTANYAAN!$A$18:$E$71,5,0)</f>
        <v>0.04</v>
      </c>
      <c r="E66" s="17"/>
      <c r="F66" s="16"/>
      <c r="G66" s="16"/>
      <c r="H66" s="102"/>
      <c r="I66" s="102"/>
      <c r="J66" s="102" t="s">
        <v>16</v>
      </c>
      <c r="K66" s="102"/>
      <c r="L66" s="102"/>
      <c r="M66" s="16">
        <f t="shared" ref="M66:M67" si="3">IF(H66="V",$D66*H$15,IF(I66="V",$D66*I$15,IF(J66="V",$D66*J$15,IF(K66="V",$D66*K$15,IF(L66="V",$D66*L$15,0)))))*100</f>
        <v>2.4</v>
      </c>
      <c r="N66" s="103"/>
    </row>
    <row r="67" spans="1:14" x14ac:dyDescent="0.4">
      <c r="A67" s="99" t="s">
        <v>122</v>
      </c>
      <c r="B67" s="100" t="s">
        <v>6</v>
      </c>
      <c r="C67" s="101" t="str">
        <f>VLOOKUP($A67,[2]PERTANYAAN!$A$18:$E$71,3,0)</f>
        <v>Tujuan Karir</v>
      </c>
      <c r="D67" s="46">
        <f>VLOOKUP($A67,[2]PERTANYAAN!$A$18:$E$71,5,0)</f>
        <v>0.01</v>
      </c>
      <c r="E67" s="17"/>
      <c r="F67" s="16"/>
      <c r="G67" s="16"/>
      <c r="H67" s="102"/>
      <c r="I67" s="102"/>
      <c r="J67" s="102" t="s">
        <v>16</v>
      </c>
      <c r="K67" s="102"/>
      <c r="L67" s="102"/>
      <c r="M67" s="16">
        <f t="shared" si="3"/>
        <v>0.6</v>
      </c>
      <c r="N67" s="103"/>
    </row>
    <row r="68" spans="1:14" x14ac:dyDescent="0.4">
      <c r="A68" s="99"/>
      <c r="B68" s="104"/>
      <c r="C68" s="103"/>
      <c r="D68" s="17"/>
      <c r="E68" s="17"/>
      <c r="F68" s="16"/>
      <c r="G68" s="16"/>
      <c r="H68" s="102"/>
      <c r="I68" s="102"/>
      <c r="J68" s="102"/>
      <c r="K68" s="102"/>
      <c r="L68" s="102"/>
      <c r="M68" s="16"/>
      <c r="N68" s="103"/>
    </row>
    <row r="69" spans="1:14" s="2" customFormat="1" x14ac:dyDescent="0.4">
      <c r="A69" s="3"/>
      <c r="B69" s="48" t="s">
        <v>101</v>
      </c>
      <c r="C69" s="49" t="s">
        <v>134</v>
      </c>
      <c r="D69" s="51">
        <f>SUM(D70:D70)</f>
        <v>0.05</v>
      </c>
      <c r="E69" s="51"/>
      <c r="F69" s="54"/>
      <c r="G69" s="54"/>
      <c r="H69" s="59"/>
      <c r="I69" s="59"/>
      <c r="J69" s="59"/>
      <c r="K69" s="59"/>
      <c r="L69" s="59"/>
      <c r="M69" s="54">
        <f>SUM(M70)</f>
        <v>3</v>
      </c>
      <c r="N69" s="49"/>
    </row>
    <row r="70" spans="1:14" x14ac:dyDescent="0.4">
      <c r="A70" s="99" t="s">
        <v>123</v>
      </c>
      <c r="B70" s="100" t="s">
        <v>6</v>
      </c>
      <c r="C70" s="101" t="str">
        <f>VLOOKUP($A70,[2]PERTANYAAN!$A$18:$E$71,3,0)</f>
        <v>Pertanyaan Spesifik User</v>
      </c>
      <c r="D70" s="46">
        <f>VLOOKUP($A70,[2]PERTANYAAN!$A$18:$E$71,5,0)</f>
        <v>0.05</v>
      </c>
      <c r="E70" s="17"/>
      <c r="F70" s="16"/>
      <c r="G70" s="16"/>
      <c r="H70" s="102"/>
      <c r="I70" s="102"/>
      <c r="J70" s="102" t="s">
        <v>16</v>
      </c>
      <c r="K70" s="102"/>
      <c r="L70" s="102"/>
      <c r="M70" s="16">
        <f t="shared" ref="M70" si="4">IF(H70="V",$D70*H$15,IF(I70="V",$D70*I$15,IF(J70="V",$D70*J$15,IF(K70="V",$D70*K$15,IF(L70="V",$D70*L$15,0)))))*100</f>
        <v>3</v>
      </c>
      <c r="N70" s="103"/>
    </row>
    <row r="71" spans="1:14" x14ac:dyDescent="0.4">
      <c r="B71" s="105"/>
      <c r="C71" s="106"/>
      <c r="D71" s="22"/>
      <c r="E71" s="22"/>
      <c r="F71" s="21"/>
      <c r="G71" s="21"/>
      <c r="H71" s="107"/>
      <c r="I71" s="107"/>
      <c r="J71" s="107"/>
      <c r="K71" s="107"/>
      <c r="L71" s="107"/>
      <c r="M71" s="21"/>
      <c r="N71" s="106"/>
    </row>
    <row r="73" spans="1:14" x14ac:dyDescent="0.4">
      <c r="H73" s="26" t="s">
        <v>61</v>
      </c>
    </row>
    <row r="74" spans="1:14" x14ac:dyDescent="0.4">
      <c r="H74" s="94" t="s">
        <v>39</v>
      </c>
      <c r="I74" s="94" t="s">
        <v>29</v>
      </c>
      <c r="J74" s="95" t="s">
        <v>69</v>
      </c>
    </row>
    <row r="75" spans="1:14" x14ac:dyDescent="0.4">
      <c r="H75" s="94" t="s">
        <v>40</v>
      </c>
      <c r="I75" s="94" t="s">
        <v>29</v>
      </c>
      <c r="J75" s="95" t="s">
        <v>70</v>
      </c>
    </row>
    <row r="76" spans="1:14" x14ac:dyDescent="0.4">
      <c r="H76" s="94" t="s">
        <v>41</v>
      </c>
      <c r="I76" s="94" t="s">
        <v>29</v>
      </c>
      <c r="J76" s="95" t="s">
        <v>71</v>
      </c>
    </row>
    <row r="77" spans="1:14" x14ac:dyDescent="0.4">
      <c r="H77" s="94" t="s">
        <v>42</v>
      </c>
      <c r="I77" s="94" t="s">
        <v>29</v>
      </c>
      <c r="J77" s="95" t="s">
        <v>72</v>
      </c>
    </row>
    <row r="78" spans="1:14" x14ac:dyDescent="0.4">
      <c r="H78" s="94" t="s">
        <v>43</v>
      </c>
      <c r="I78" s="94" t="s">
        <v>29</v>
      </c>
      <c r="J78" s="95" t="s">
        <v>73</v>
      </c>
    </row>
  </sheetData>
  <mergeCells count="8"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B7AD-82F5-4B9A-B56F-2AC7F1EC954A}">
  <sheetPr>
    <tabColor rgb="FFFFC000"/>
  </sheetPr>
  <dimension ref="A1:O78"/>
  <sheetViews>
    <sheetView zoomScaleNormal="100" workbookViewId="0">
      <pane xSplit="1" ySplit="14" topLeftCell="B15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C13" sqref="C13:C14"/>
    </sheetView>
  </sheetViews>
  <sheetFormatPr defaultColWidth="8.84375" defaultRowHeight="14.6" outlineLevelRow="1" x14ac:dyDescent="0.4"/>
  <cols>
    <col min="1" max="1" width="17.69140625" style="93" customWidth="1"/>
    <col min="2" max="2" width="4.3046875" style="92" bestFit="1" customWidth="1"/>
    <col min="3" max="3" width="40.15234375" style="93" bestFit="1" customWidth="1"/>
    <col min="4" max="4" width="8.84375" style="5"/>
    <col min="5" max="5" width="1.69140625" style="5" customWidth="1"/>
    <col min="6" max="7" width="8.84375" style="4"/>
    <col min="8" max="12" width="8.84375" style="94"/>
    <col min="13" max="13" width="8.84375" style="4"/>
    <col min="14" max="14" width="16.84375" style="93" customWidth="1"/>
    <col min="15" max="16384" width="8.84375" style="93"/>
  </cols>
  <sheetData>
    <row r="1" spans="1:14" x14ac:dyDescent="0.4">
      <c r="A1" s="2" t="s">
        <v>125</v>
      </c>
    </row>
    <row r="2" spans="1:14" x14ac:dyDescent="0.4">
      <c r="A2" s="2" t="s">
        <v>0</v>
      </c>
    </row>
    <row r="5" spans="1:14" x14ac:dyDescent="0.4">
      <c r="A5" s="2" t="s">
        <v>1</v>
      </c>
      <c r="B5" s="92" t="s">
        <v>29</v>
      </c>
      <c r="C5" s="2" t="s">
        <v>128</v>
      </c>
    </row>
    <row r="6" spans="1:14" x14ac:dyDescent="0.4">
      <c r="A6" s="2" t="s">
        <v>20</v>
      </c>
      <c r="B6" s="92" t="s">
        <v>29</v>
      </c>
      <c r="C6" s="93" t="s">
        <v>31</v>
      </c>
    </row>
    <row r="7" spans="1:14" x14ac:dyDescent="0.4">
      <c r="A7" s="2" t="s">
        <v>32</v>
      </c>
      <c r="B7" s="92" t="s">
        <v>29</v>
      </c>
      <c r="C7" s="93" t="s">
        <v>169</v>
      </c>
    </row>
    <row r="8" spans="1:14" x14ac:dyDescent="0.4">
      <c r="A8" s="2" t="s">
        <v>34</v>
      </c>
      <c r="B8" s="92" t="s">
        <v>29</v>
      </c>
      <c r="C8" s="93" t="s">
        <v>35</v>
      </c>
    </row>
    <row r="9" spans="1:14" x14ac:dyDescent="0.4">
      <c r="A9" s="2" t="s">
        <v>28</v>
      </c>
      <c r="B9" s="92" t="s">
        <v>29</v>
      </c>
      <c r="C9" s="93" t="s">
        <v>170</v>
      </c>
    </row>
    <row r="10" spans="1:14" x14ac:dyDescent="0.4">
      <c r="A10" s="2" t="s">
        <v>38</v>
      </c>
      <c r="B10" s="92" t="s">
        <v>29</v>
      </c>
      <c r="C10" s="2" t="s">
        <v>88</v>
      </c>
      <c r="D10" s="6" t="s">
        <v>92</v>
      </c>
    </row>
    <row r="11" spans="1:14" x14ac:dyDescent="0.4">
      <c r="A11" s="2" t="s">
        <v>67</v>
      </c>
      <c r="B11" s="92" t="s">
        <v>29</v>
      </c>
      <c r="C11" s="24">
        <f>M16</f>
        <v>88</v>
      </c>
    </row>
    <row r="13" spans="1:14" s="2" customFormat="1" x14ac:dyDescent="0.4">
      <c r="A13" s="67" t="s">
        <v>124</v>
      </c>
      <c r="B13" s="68" t="s">
        <v>2</v>
      </c>
      <c r="C13" s="68" t="s">
        <v>3</v>
      </c>
      <c r="D13" s="70" t="s">
        <v>19</v>
      </c>
      <c r="E13" s="42"/>
      <c r="F13" s="65" t="s">
        <v>18</v>
      </c>
      <c r="G13" s="65"/>
      <c r="H13" s="68" t="s">
        <v>37</v>
      </c>
      <c r="I13" s="68"/>
      <c r="J13" s="68"/>
      <c r="K13" s="68"/>
      <c r="L13" s="68"/>
      <c r="M13" s="65" t="s">
        <v>17</v>
      </c>
      <c r="N13" s="66" t="s">
        <v>61</v>
      </c>
    </row>
    <row r="14" spans="1:14" s="2" customFormat="1" x14ac:dyDescent="0.4">
      <c r="A14" s="67"/>
      <c r="B14" s="68"/>
      <c r="C14" s="96"/>
      <c r="D14" s="71"/>
      <c r="E14" s="44"/>
      <c r="F14" s="43" t="s">
        <v>14</v>
      </c>
      <c r="G14" s="43" t="s">
        <v>15</v>
      </c>
      <c r="H14" s="41" t="s">
        <v>39</v>
      </c>
      <c r="I14" s="41" t="s">
        <v>40</v>
      </c>
      <c r="J14" s="41" t="s">
        <v>41</v>
      </c>
      <c r="K14" s="41" t="s">
        <v>42</v>
      </c>
      <c r="L14" s="41" t="s">
        <v>43</v>
      </c>
      <c r="M14" s="65"/>
      <c r="N14" s="66"/>
    </row>
    <row r="15" spans="1:14" s="2" customFormat="1" x14ac:dyDescent="0.4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4">
      <c r="A16" s="3"/>
      <c r="B16" s="39"/>
      <c r="C16" s="63" t="s">
        <v>65</v>
      </c>
      <c r="D16" s="39"/>
      <c r="E16" s="39"/>
      <c r="F16" s="61"/>
      <c r="G16" s="61"/>
      <c r="H16" s="39"/>
      <c r="I16" s="39"/>
      <c r="J16" s="39"/>
      <c r="K16" s="39"/>
      <c r="L16" s="39"/>
      <c r="M16" s="40">
        <f>M17+M21+M27+M43+M60+M65+M69</f>
        <v>88</v>
      </c>
      <c r="N16" s="35"/>
    </row>
    <row r="17" spans="1:15" x14ac:dyDescent="0.4">
      <c r="B17" s="48" t="s">
        <v>66</v>
      </c>
      <c r="C17" s="49" t="s">
        <v>8</v>
      </c>
      <c r="D17" s="51">
        <f>SUM(D18:D19)</f>
        <v>0.1</v>
      </c>
      <c r="E17" s="51"/>
      <c r="F17" s="54"/>
      <c r="G17" s="54"/>
      <c r="H17" s="97"/>
      <c r="I17" s="97"/>
      <c r="J17" s="97"/>
      <c r="K17" s="97"/>
      <c r="L17" s="97"/>
      <c r="M17" s="54">
        <f>SUM(M18:M20)</f>
        <v>6</v>
      </c>
      <c r="N17" s="98"/>
    </row>
    <row r="18" spans="1:15" x14ac:dyDescent="0.4">
      <c r="A18" s="99" t="s">
        <v>102</v>
      </c>
      <c r="B18" s="100">
        <v>1</v>
      </c>
      <c r="C18" s="101" t="str">
        <f>VLOOKUP($A18,[2]PERTANYAAN!$A$18:$E$71,3,0)</f>
        <v>Pengalaman di dalam Daniswara Group</v>
      </c>
      <c r="D18" s="46">
        <f>VLOOKUP($A18,[2]PERTANYAAN!$A$18:$E$71,5,0)</f>
        <v>0.06</v>
      </c>
      <c r="E18" s="17"/>
      <c r="F18" s="16" t="s">
        <v>16</v>
      </c>
      <c r="G18" s="16"/>
      <c r="H18" s="102"/>
      <c r="I18" s="102"/>
      <c r="J18" s="102"/>
      <c r="K18" s="102"/>
      <c r="L18" s="102"/>
      <c r="M18" s="16">
        <f>IF(F18="V",D18*100,0)</f>
        <v>6</v>
      </c>
      <c r="N18" s="103"/>
    </row>
    <row r="19" spans="1:15" x14ac:dyDescent="0.4">
      <c r="A19" s="99" t="s">
        <v>103</v>
      </c>
      <c r="B19" s="100">
        <f>B18+1</f>
        <v>2</v>
      </c>
      <c r="C19" s="101" t="str">
        <f>VLOOKUP($A19,[2]PERTANYAAN!$A$18:$E$71,3,0)</f>
        <v>Pengalaman di luar Daniswara Group</v>
      </c>
      <c r="D19" s="46">
        <f>VLOOKUP($A19,[2]PERTANYAAN!$A$18:$E$71,5,0)</f>
        <v>0.04</v>
      </c>
      <c r="E19" s="17"/>
      <c r="F19" s="16"/>
      <c r="G19" s="16"/>
      <c r="H19" s="102"/>
      <c r="I19" s="102"/>
      <c r="J19" s="102"/>
      <c r="K19" s="102"/>
      <c r="L19" s="102"/>
      <c r="M19" s="16">
        <f>IF(F19="V",D19*100,0)</f>
        <v>0</v>
      </c>
      <c r="N19" s="103"/>
    </row>
    <row r="20" spans="1:15" x14ac:dyDescent="0.4">
      <c r="A20" s="92"/>
      <c r="B20" s="104"/>
      <c r="C20" s="103"/>
      <c r="D20" s="17"/>
      <c r="E20" s="17"/>
      <c r="F20" s="16"/>
      <c r="G20" s="16"/>
      <c r="H20" s="102"/>
      <c r="I20" s="102"/>
      <c r="J20" s="102"/>
      <c r="K20" s="102"/>
      <c r="L20" s="102"/>
      <c r="M20" s="16"/>
      <c r="N20" s="103"/>
    </row>
    <row r="21" spans="1:15" x14ac:dyDescent="0.4">
      <c r="A21" s="92"/>
      <c r="B21" s="48" t="s">
        <v>42</v>
      </c>
      <c r="C21" s="49" t="s">
        <v>9</v>
      </c>
      <c r="D21" s="51">
        <f>SUM(D22:D25)</f>
        <v>0.05</v>
      </c>
      <c r="E21" s="51"/>
      <c r="F21" s="54"/>
      <c r="G21" s="54"/>
      <c r="H21" s="97"/>
      <c r="I21" s="97"/>
      <c r="J21" s="97"/>
      <c r="K21" s="97"/>
      <c r="L21" s="97"/>
      <c r="M21" s="54">
        <f>SUM(M22:M25)</f>
        <v>4</v>
      </c>
      <c r="N21" s="98"/>
    </row>
    <row r="22" spans="1:15" x14ac:dyDescent="0.4">
      <c r="A22" s="99" t="s">
        <v>104</v>
      </c>
      <c r="B22" s="100">
        <v>1</v>
      </c>
      <c r="C22" s="101" t="str">
        <f>VLOOKUP($A22,[2]PERTANYAAN!$A$18:$E$71,3,0)</f>
        <v>Identitas (KTP &amp; KK)</v>
      </c>
      <c r="D22" s="46">
        <f>VLOOKUP($A22,[2]PERTANYAAN!$A$18:$E$71,5,0)</f>
        <v>0.01</v>
      </c>
      <c r="E22" s="17"/>
      <c r="F22" s="16" t="s">
        <v>16</v>
      </c>
      <c r="G22" s="16"/>
      <c r="H22" s="102"/>
      <c r="I22" s="102"/>
      <c r="J22" s="102"/>
      <c r="K22" s="102"/>
      <c r="L22" s="102"/>
      <c r="M22" s="16">
        <f>IF(F22="V",D22*100,0)</f>
        <v>1</v>
      </c>
      <c r="N22" s="103"/>
    </row>
    <row r="23" spans="1:15" x14ac:dyDescent="0.4">
      <c r="A23" s="99" t="s">
        <v>105</v>
      </c>
      <c r="B23" s="100">
        <f>B22+1</f>
        <v>2</v>
      </c>
      <c r="C23" s="101" t="str">
        <f>VLOOKUP($A23,[2]PERTANYAAN!$A$18:$E$71,3,0)</f>
        <v>SIM A (utk jabatan di Divisi Operasi)</v>
      </c>
      <c r="D23" s="46">
        <f>VLOOKUP($A23,[2]PERTANYAAN!$A$18:$E$71,5,0)</f>
        <v>0.02</v>
      </c>
      <c r="E23" s="17"/>
      <c r="F23" s="16" t="s">
        <v>16</v>
      </c>
      <c r="G23" s="16"/>
      <c r="H23" s="102"/>
      <c r="I23" s="102"/>
      <c r="J23" s="102"/>
      <c r="K23" s="102"/>
      <c r="L23" s="102"/>
      <c r="M23" s="16">
        <f>IF(F23="V",D23*100,0)</f>
        <v>2</v>
      </c>
      <c r="N23" s="103"/>
      <c r="O23" s="93" t="s">
        <v>167</v>
      </c>
    </row>
    <row r="24" spans="1:15" x14ac:dyDescent="0.4">
      <c r="A24" s="99" t="s">
        <v>106</v>
      </c>
      <c r="B24" s="100">
        <f t="shared" ref="B24:B25" si="0">B23+1</f>
        <v>3</v>
      </c>
      <c r="C24" s="101" t="str">
        <f>VLOOKUP($A24,[2]PERTANYAAN!$A$18:$E$71,3,0)</f>
        <v>SIM C</v>
      </c>
      <c r="D24" s="46">
        <f>VLOOKUP($A24,[2]PERTANYAAN!$A$18:$E$71,5,0)</f>
        <v>0.01</v>
      </c>
      <c r="E24" s="17"/>
      <c r="F24" s="16" t="s">
        <v>16</v>
      </c>
      <c r="G24" s="16"/>
      <c r="H24" s="102"/>
      <c r="I24" s="102"/>
      <c r="J24" s="102"/>
      <c r="K24" s="102"/>
      <c r="L24" s="102"/>
      <c r="M24" s="16">
        <f>IF(F24="V",D24*100,0)</f>
        <v>1</v>
      </c>
      <c r="N24" s="103"/>
      <c r="O24" s="93" t="s">
        <v>167</v>
      </c>
    </row>
    <row r="25" spans="1:15" x14ac:dyDescent="0.4">
      <c r="A25" s="99" t="s">
        <v>107</v>
      </c>
      <c r="B25" s="100">
        <f t="shared" si="0"/>
        <v>4</v>
      </c>
      <c r="C25" s="101" t="str">
        <f>VLOOKUP($A25,[2]PERTANYAAN!$A$18:$E$71,3,0)</f>
        <v>NPWP</v>
      </c>
      <c r="D25" s="46">
        <f>VLOOKUP($A25,[2]PERTANYAAN!$A$18:$E$71,5,0)</f>
        <v>0.01</v>
      </c>
      <c r="E25" s="17"/>
      <c r="F25" s="16"/>
      <c r="G25" s="16" t="s">
        <v>16</v>
      </c>
      <c r="H25" s="102"/>
      <c r="I25" s="102"/>
      <c r="J25" s="102"/>
      <c r="K25" s="102"/>
      <c r="L25" s="102"/>
      <c r="M25" s="16">
        <f>IF(F25="V",D25*100,0)</f>
        <v>0</v>
      </c>
      <c r="N25" s="103"/>
    </row>
    <row r="26" spans="1:15" x14ac:dyDescent="0.4">
      <c r="A26" s="92"/>
      <c r="B26" s="104"/>
      <c r="C26" s="103"/>
      <c r="D26" s="17"/>
      <c r="E26" s="17"/>
      <c r="F26" s="16"/>
      <c r="G26" s="16"/>
      <c r="H26" s="102"/>
      <c r="I26" s="102"/>
      <c r="J26" s="102"/>
      <c r="K26" s="102"/>
      <c r="L26" s="102"/>
      <c r="M26" s="16"/>
      <c r="N26" s="103"/>
    </row>
    <row r="27" spans="1:15" x14ac:dyDescent="0.4">
      <c r="A27" s="92"/>
      <c r="B27" s="48" t="s">
        <v>97</v>
      </c>
      <c r="C27" s="49" t="s">
        <v>21</v>
      </c>
      <c r="D27" s="51">
        <f>D28</f>
        <v>0.35000000000000003</v>
      </c>
      <c r="E27" s="57"/>
      <c r="F27" s="60"/>
      <c r="G27" s="60"/>
      <c r="H27" s="97"/>
      <c r="I27" s="97"/>
      <c r="J27" s="97"/>
      <c r="K27" s="97"/>
      <c r="L27" s="97"/>
      <c r="M27" s="54">
        <f>M28</f>
        <v>35</v>
      </c>
      <c r="N27" s="98"/>
    </row>
    <row r="28" spans="1:15" x14ac:dyDescent="0.4">
      <c r="A28" s="99" t="s">
        <v>108</v>
      </c>
      <c r="B28" s="100">
        <v>1</v>
      </c>
      <c r="C28" s="101" t="str">
        <f>VLOOKUP($A28,[2]PERTANYAAN!$A$18:$E$71,3,0)</f>
        <v>Operasi / Logistik</v>
      </c>
      <c r="D28" s="46">
        <f>VLOOKUP($A28,[2]PERTANYAAN!$A$18:$E$71,5,0)</f>
        <v>0.35000000000000003</v>
      </c>
      <c r="E28" s="17"/>
      <c r="F28" s="16"/>
      <c r="G28" s="16"/>
      <c r="H28" s="102"/>
      <c r="I28" s="102"/>
      <c r="J28" s="102"/>
      <c r="K28" s="102"/>
      <c r="L28" s="102"/>
      <c r="M28" s="16">
        <f>SUM(M29:M33)</f>
        <v>35</v>
      </c>
      <c r="N28" s="103"/>
    </row>
    <row r="29" spans="1:15" x14ac:dyDescent="0.4">
      <c r="A29" s="99" t="s">
        <v>109</v>
      </c>
      <c r="B29" s="100" t="s">
        <v>6</v>
      </c>
      <c r="C29" s="101" t="str">
        <f>VLOOKUP($A29,[2]PERTANYAAN!$A$18:$E$71,3,0)</f>
        <v>Skill Mengemudi</v>
      </c>
      <c r="D29" s="46">
        <f>VLOOKUP($A29,[2]PERTANYAAN!$A$18:$E$71,5,0)</f>
        <v>0.15</v>
      </c>
      <c r="E29" s="17"/>
      <c r="F29" s="16"/>
      <c r="G29" s="16"/>
      <c r="H29" s="102"/>
      <c r="I29" s="102"/>
      <c r="J29" s="102"/>
      <c r="K29" s="102"/>
      <c r="L29" s="102" t="s">
        <v>16</v>
      </c>
      <c r="M29" s="16">
        <f>IF(H29="V",$D29*H$15,IF(I29="V",$D29*I$15,IF(J29="V",$D29*J$15,IF(K29="V",$D29*K$15,IF(L29="V",$D29*L$15,0)))))*100</f>
        <v>15</v>
      </c>
      <c r="N29" s="103"/>
    </row>
    <row r="30" spans="1:15" x14ac:dyDescent="0.4">
      <c r="A30" s="99" t="s">
        <v>110</v>
      </c>
      <c r="B30" s="100" t="s">
        <v>6</v>
      </c>
      <c r="C30" s="101" t="str">
        <f>VLOOKUP($A30,[2]PERTANYAAN!$A$18:$E$71,3,0)</f>
        <v>Flow Administrasi Logistik</v>
      </c>
      <c r="D30" s="46">
        <f>VLOOKUP($A30,[2]PERTANYAAN!$A$18:$E$71,5,0)</f>
        <v>0.1</v>
      </c>
      <c r="E30" s="17"/>
      <c r="F30" s="16"/>
      <c r="G30" s="16"/>
      <c r="H30" s="102"/>
      <c r="I30" s="102"/>
      <c r="J30" s="102"/>
      <c r="K30" s="102"/>
      <c r="L30" s="102" t="s">
        <v>16</v>
      </c>
      <c r="M30" s="16">
        <f t="shared" ref="M30:M32" si="1">IF(H30="V",$D30*H$15,IF(I30="V",$D30*I$15,IF(J30="V",$D30*J$15,IF(K30="V",$D30*K$15,IF(L30="V",$D30*L$15,0)))))*100</f>
        <v>10</v>
      </c>
      <c r="N30" s="103"/>
    </row>
    <row r="31" spans="1:15" x14ac:dyDescent="0.4">
      <c r="A31" s="99" t="s">
        <v>111</v>
      </c>
      <c r="B31" s="100" t="s">
        <v>6</v>
      </c>
      <c r="C31" s="101" t="str">
        <f>VLOOKUP($A31,[2]PERTANYAAN!$A$18:$E$71,3,0)</f>
        <v>Pengetahuan terkait logistik</v>
      </c>
      <c r="D31" s="46">
        <f>VLOOKUP($A31,[2]PERTANYAAN!$A$18:$E$71,5,0)</f>
        <v>2.5000000000000001E-2</v>
      </c>
      <c r="E31" s="17"/>
      <c r="F31" s="16"/>
      <c r="G31" s="16"/>
      <c r="H31" s="102"/>
      <c r="I31" s="102"/>
      <c r="J31" s="102"/>
      <c r="K31" s="102"/>
      <c r="L31" s="102" t="s">
        <v>16</v>
      </c>
      <c r="M31" s="16">
        <f t="shared" si="1"/>
        <v>2.5</v>
      </c>
      <c r="N31" s="103"/>
    </row>
    <row r="32" spans="1:15" x14ac:dyDescent="0.4">
      <c r="A32" s="99" t="s">
        <v>112</v>
      </c>
      <c r="B32" s="100" t="s">
        <v>6</v>
      </c>
      <c r="C32" s="101" t="str">
        <f>VLOOKUP($A32,[2]PERTANYAAN!$A$18:$E$71,3,0)</f>
        <v>Pengalaman di Bongkar Muat</v>
      </c>
      <c r="D32" s="46">
        <f>VLOOKUP($A32,[2]PERTANYAAN!$A$18:$E$71,5,0)</f>
        <v>7.4999999999999997E-2</v>
      </c>
      <c r="E32" s="17"/>
      <c r="F32" s="16"/>
      <c r="G32" s="16"/>
      <c r="H32" s="102"/>
      <c r="I32" s="102"/>
      <c r="J32" s="102"/>
      <c r="K32" s="102"/>
      <c r="L32" s="102" t="s">
        <v>16</v>
      </c>
      <c r="M32" s="16">
        <f t="shared" si="1"/>
        <v>7.5</v>
      </c>
      <c r="N32" s="103"/>
    </row>
    <row r="33" spans="1:14" x14ac:dyDescent="0.4">
      <c r="A33" s="92"/>
      <c r="B33" s="100"/>
      <c r="C33" s="103"/>
      <c r="D33" s="17"/>
      <c r="E33" s="17"/>
      <c r="F33" s="16"/>
      <c r="G33" s="16"/>
      <c r="H33" s="102"/>
      <c r="I33" s="102"/>
      <c r="J33" s="102"/>
      <c r="K33" s="102"/>
      <c r="L33" s="102"/>
      <c r="M33" s="16"/>
      <c r="N33" s="103"/>
    </row>
    <row r="34" spans="1:14" hidden="1" outlineLevel="1" x14ac:dyDescent="0.4">
      <c r="A34" s="92"/>
      <c r="B34" s="100">
        <f>B28+1</f>
        <v>2</v>
      </c>
      <c r="C34" s="103" t="s">
        <v>22</v>
      </c>
      <c r="D34" s="17">
        <f>SUM(D35:D37)</f>
        <v>0.35</v>
      </c>
      <c r="E34" s="17"/>
      <c r="F34" s="16"/>
      <c r="G34" s="16"/>
      <c r="H34" s="102"/>
      <c r="I34" s="102"/>
      <c r="J34" s="102"/>
      <c r="K34" s="102"/>
      <c r="L34" s="102"/>
      <c r="M34" s="16"/>
      <c r="N34" s="103"/>
    </row>
    <row r="35" spans="1:14" hidden="1" outlineLevel="1" x14ac:dyDescent="0.4">
      <c r="A35" s="92"/>
      <c r="B35" s="100" t="s">
        <v>6</v>
      </c>
      <c r="C35" s="103" t="s">
        <v>44</v>
      </c>
      <c r="D35" s="17">
        <v>0.15</v>
      </c>
      <c r="E35" s="17"/>
      <c r="F35" s="16"/>
      <c r="G35" s="16"/>
      <c r="H35" s="102"/>
      <c r="I35" s="102"/>
      <c r="J35" s="102"/>
      <c r="K35" s="102"/>
      <c r="L35" s="102"/>
      <c r="M35" s="16"/>
      <c r="N35" s="103"/>
    </row>
    <row r="36" spans="1:14" hidden="1" outlineLevel="1" x14ac:dyDescent="0.4">
      <c r="A36" s="92"/>
      <c r="B36" s="100" t="s">
        <v>6</v>
      </c>
      <c r="C36" s="103" t="s">
        <v>50</v>
      </c>
      <c r="D36" s="17">
        <v>0.2</v>
      </c>
      <c r="E36" s="17"/>
      <c r="F36" s="16"/>
      <c r="G36" s="16"/>
      <c r="H36" s="102"/>
      <c r="I36" s="102"/>
      <c r="J36" s="102"/>
      <c r="K36" s="102"/>
      <c r="L36" s="102"/>
      <c r="M36" s="16"/>
      <c r="N36" s="103"/>
    </row>
    <row r="37" spans="1:14" hidden="1" outlineLevel="1" x14ac:dyDescent="0.4">
      <c r="A37" s="92"/>
      <c r="B37" s="100"/>
      <c r="C37" s="103"/>
      <c r="D37" s="17"/>
      <c r="E37" s="17"/>
      <c r="F37" s="16"/>
      <c r="G37" s="16"/>
      <c r="H37" s="102"/>
      <c r="I37" s="102"/>
      <c r="J37" s="102"/>
      <c r="K37" s="102"/>
      <c r="L37" s="102"/>
      <c r="M37" s="16"/>
      <c r="N37" s="103"/>
    </row>
    <row r="38" spans="1:14" hidden="1" outlineLevel="1" x14ac:dyDescent="0.4">
      <c r="A38" s="92"/>
      <c r="B38" s="104">
        <v>3</v>
      </c>
      <c r="C38" s="103" t="s">
        <v>23</v>
      </c>
      <c r="D38" s="17"/>
      <c r="E38" s="17"/>
      <c r="F38" s="16"/>
      <c r="G38" s="16"/>
      <c r="H38" s="102"/>
      <c r="I38" s="102"/>
      <c r="J38" s="102"/>
      <c r="K38" s="102"/>
      <c r="L38" s="102"/>
      <c r="M38" s="16"/>
      <c r="N38" s="103"/>
    </row>
    <row r="39" spans="1:14" hidden="1" outlineLevel="1" x14ac:dyDescent="0.4">
      <c r="A39" s="92"/>
      <c r="B39" s="100" t="s">
        <v>6</v>
      </c>
      <c r="C39" s="103" t="s">
        <v>52</v>
      </c>
      <c r="D39" s="17"/>
      <c r="E39" s="17"/>
      <c r="F39" s="16"/>
      <c r="G39" s="16"/>
      <c r="H39" s="102"/>
      <c r="I39" s="102"/>
      <c r="J39" s="102"/>
      <c r="K39" s="102"/>
      <c r="L39" s="102"/>
      <c r="M39" s="16"/>
      <c r="N39" s="103"/>
    </row>
    <row r="40" spans="1:14" hidden="1" outlineLevel="1" x14ac:dyDescent="0.4">
      <c r="A40" s="92"/>
      <c r="B40" s="100" t="s">
        <v>6</v>
      </c>
      <c r="C40" s="103" t="s">
        <v>53</v>
      </c>
      <c r="D40" s="17"/>
      <c r="E40" s="17"/>
      <c r="F40" s="16"/>
      <c r="G40" s="16"/>
      <c r="H40" s="102"/>
      <c r="I40" s="102"/>
      <c r="J40" s="102"/>
      <c r="K40" s="102"/>
      <c r="L40" s="102"/>
      <c r="M40" s="16"/>
      <c r="N40" s="103"/>
    </row>
    <row r="41" spans="1:14" hidden="1" outlineLevel="1" x14ac:dyDescent="0.4">
      <c r="A41" s="92"/>
      <c r="B41" s="100" t="s">
        <v>6</v>
      </c>
      <c r="C41" s="103"/>
      <c r="D41" s="17"/>
      <c r="E41" s="17"/>
      <c r="F41" s="16"/>
      <c r="G41" s="16"/>
      <c r="H41" s="102"/>
      <c r="I41" s="102"/>
      <c r="J41" s="102"/>
      <c r="K41" s="102"/>
      <c r="L41" s="102"/>
      <c r="M41" s="16"/>
      <c r="N41" s="103"/>
    </row>
    <row r="42" spans="1:14" hidden="1" outlineLevel="1" x14ac:dyDescent="0.4">
      <c r="A42" s="92"/>
      <c r="B42" s="104"/>
      <c r="C42" s="103"/>
      <c r="D42" s="17"/>
      <c r="E42" s="17"/>
      <c r="F42" s="16"/>
      <c r="G42" s="16"/>
      <c r="H42" s="102"/>
      <c r="I42" s="102"/>
      <c r="J42" s="102"/>
      <c r="K42" s="102"/>
      <c r="L42" s="102"/>
      <c r="M42" s="16"/>
      <c r="N42" s="103"/>
    </row>
    <row r="43" spans="1:14" s="2" customFormat="1" collapsed="1" x14ac:dyDescent="0.4">
      <c r="A43" s="3"/>
      <c r="B43" s="48" t="s">
        <v>98</v>
      </c>
      <c r="C43" s="49" t="s">
        <v>24</v>
      </c>
      <c r="D43" s="51">
        <f>D44</f>
        <v>0.25</v>
      </c>
      <c r="E43" s="51"/>
      <c r="F43" s="54"/>
      <c r="G43" s="54"/>
      <c r="H43" s="59"/>
      <c r="I43" s="59"/>
      <c r="J43" s="59"/>
      <c r="K43" s="59"/>
      <c r="L43" s="59"/>
      <c r="M43" s="54">
        <f>M44</f>
        <v>24</v>
      </c>
      <c r="N43" s="49"/>
    </row>
    <row r="44" spans="1:14" x14ac:dyDescent="0.4">
      <c r="A44" s="92" t="s">
        <v>113</v>
      </c>
      <c r="B44" s="104">
        <v>1</v>
      </c>
      <c r="C44" s="101" t="str">
        <f>VLOOKUP($A44,[2]PERTANYAAN!$A$18:$E$71,3,0)</f>
        <v>Staff</v>
      </c>
      <c r="D44" s="46">
        <f>VLOOKUP($A44,[2]PERTANYAAN!$A$18:$E$71,5,0)</f>
        <v>0.25</v>
      </c>
      <c r="E44" s="17"/>
      <c r="F44" s="16"/>
      <c r="G44" s="16"/>
      <c r="H44" s="102"/>
      <c r="I44" s="102"/>
      <c r="J44" s="102"/>
      <c r="K44" s="102"/>
      <c r="L44" s="102"/>
      <c r="M44" s="16">
        <f>SUM(M45:M48)</f>
        <v>24</v>
      </c>
      <c r="N44" s="103"/>
    </row>
    <row r="45" spans="1:14" x14ac:dyDescent="0.4">
      <c r="A45" s="99" t="s">
        <v>114</v>
      </c>
      <c r="B45" s="100" t="s">
        <v>6</v>
      </c>
      <c r="C45" s="101" t="str">
        <f>VLOOKUP($A45,[2]PERTANYAAN!$A$18:$E$71,3,0)</f>
        <v>Kepemimpinan</v>
      </c>
      <c r="D45" s="46">
        <f>VLOOKUP($A45,[2]PERTANYAAN!$A$18:$E$71,5,0)</f>
        <v>2.5000000000000001E-2</v>
      </c>
      <c r="E45" s="17"/>
      <c r="F45" s="16"/>
      <c r="G45" s="16"/>
      <c r="H45" s="102"/>
      <c r="I45" s="102"/>
      <c r="J45" s="102"/>
      <c r="K45" s="102"/>
      <c r="L45" s="102" t="s">
        <v>16</v>
      </c>
      <c r="M45" s="16">
        <f>IF(H45="V",$D45*H$15,IF(I45="V",$D45*I$15,IF(J45="V",$D45*J$15,IF(K45="V",$D45*K$15,IF(L45="V",$D45*L$15,0)))))*100</f>
        <v>2.5</v>
      </c>
      <c r="N45" s="103"/>
    </row>
    <row r="46" spans="1:14" x14ac:dyDescent="0.4">
      <c r="A46" s="99" t="s">
        <v>115</v>
      </c>
      <c r="B46" s="100" t="s">
        <v>6</v>
      </c>
      <c r="C46" s="101" t="str">
        <f>VLOOKUP($A46,[2]PERTANYAAN!$A$18:$E$71,3,0)</f>
        <v>Komunikasi</v>
      </c>
      <c r="D46" s="46">
        <f>VLOOKUP($A46,[2]PERTANYAAN!$A$18:$E$71,5,0)</f>
        <v>0.1</v>
      </c>
      <c r="E46" s="17"/>
      <c r="F46" s="16"/>
      <c r="G46" s="16"/>
      <c r="H46" s="102"/>
      <c r="I46" s="102"/>
      <c r="J46" s="102"/>
      <c r="K46" s="102"/>
      <c r="L46" s="102" t="s">
        <v>16</v>
      </c>
      <c r="M46" s="16">
        <f>IF(H46="V",$D46*H$15,IF(I46="V",$D46*I$15,IF(J46="V",$D46*J$15,IF(K46="V",$D46*K$15,IF(L46="V",$D46*L$15,0)))))*100</f>
        <v>10</v>
      </c>
      <c r="N46" s="103"/>
    </row>
    <row r="47" spans="1:14" x14ac:dyDescent="0.4">
      <c r="A47" s="99" t="s">
        <v>116</v>
      </c>
      <c r="B47" s="100" t="s">
        <v>6</v>
      </c>
      <c r="C47" s="101" t="str">
        <f>VLOOKUP($A47,[2]PERTANYAAN!$A$18:$E$71,3,0)</f>
        <v>Patuh pada Peraturan / Commitment</v>
      </c>
      <c r="D47" s="46">
        <f>VLOOKUP($A47,[2]PERTANYAAN!$A$18:$E$71,5,0)</f>
        <v>0.05</v>
      </c>
      <c r="E47" s="17"/>
      <c r="F47" s="16"/>
      <c r="G47" s="16"/>
      <c r="H47" s="102"/>
      <c r="I47" s="102"/>
      <c r="J47" s="102"/>
      <c r="K47" s="102" t="s">
        <v>16</v>
      </c>
      <c r="L47" s="102"/>
      <c r="M47" s="16">
        <f>IF(H47="V",$D47*H$15,IF(I47="V",$D47*I$15,IF(J47="V",$D47*J$15,IF(K47="V",$D47*K$15,IF(L47="V",$D47*L$15,0)))))*100</f>
        <v>4.0000000000000009</v>
      </c>
      <c r="N47" s="103"/>
    </row>
    <row r="48" spans="1:14" x14ac:dyDescent="0.4">
      <c r="A48" s="99" t="s">
        <v>117</v>
      </c>
      <c r="B48" s="100" t="s">
        <v>6</v>
      </c>
      <c r="C48" s="101" t="str">
        <f>VLOOKUP($A48,[2]PERTANYAAN!$A$18:$E$71,3,0)</f>
        <v>Determinasi thd tekanan</v>
      </c>
      <c r="D48" s="46">
        <f>VLOOKUP($A48,[2]PERTANYAAN!$A$18:$E$71,5,0)</f>
        <v>7.4999999999999997E-2</v>
      </c>
      <c r="E48" s="17"/>
      <c r="F48" s="16"/>
      <c r="G48" s="16"/>
      <c r="H48" s="102"/>
      <c r="I48" s="102"/>
      <c r="J48" s="102"/>
      <c r="K48" s="102"/>
      <c r="L48" s="102" t="s">
        <v>16</v>
      </c>
      <c r="M48" s="16">
        <f>IF(H48="V",$D48*H$15,IF(I48="V",$D48*I$15,IF(J48="V",$D48*J$15,IF(K48="V",$D48*K$15,IF(L48="V",$D48*L$15,0)))))*100</f>
        <v>7.5</v>
      </c>
      <c r="N48" s="103"/>
    </row>
    <row r="49" spans="1:14" x14ac:dyDescent="0.4">
      <c r="A49" s="92"/>
      <c r="B49" s="100"/>
      <c r="C49" s="103"/>
      <c r="D49" s="17"/>
      <c r="E49" s="17"/>
      <c r="F49" s="16"/>
      <c r="G49" s="16"/>
      <c r="H49" s="102"/>
      <c r="I49" s="102"/>
      <c r="J49" s="102"/>
      <c r="K49" s="102"/>
      <c r="L49" s="102"/>
      <c r="M49" s="16"/>
      <c r="N49" s="103"/>
    </row>
    <row r="50" spans="1:14" hidden="1" outlineLevel="1" x14ac:dyDescent="0.4">
      <c r="A50" s="92"/>
      <c r="B50" s="104">
        <v>2</v>
      </c>
      <c r="C50" s="103" t="s">
        <v>26</v>
      </c>
      <c r="D50" s="17"/>
      <c r="E50" s="17"/>
      <c r="F50" s="16"/>
      <c r="G50" s="16"/>
      <c r="H50" s="102"/>
      <c r="I50" s="102"/>
      <c r="J50" s="102"/>
      <c r="K50" s="102"/>
      <c r="L50" s="102"/>
      <c r="M50" s="16"/>
      <c r="N50" s="103"/>
    </row>
    <row r="51" spans="1:14" hidden="1" outlineLevel="1" x14ac:dyDescent="0.4">
      <c r="A51" s="92"/>
      <c r="B51" s="100" t="s">
        <v>6</v>
      </c>
      <c r="C51" s="103" t="s">
        <v>54</v>
      </c>
      <c r="D51" s="17"/>
      <c r="E51" s="17"/>
      <c r="F51" s="16"/>
      <c r="G51" s="16"/>
      <c r="H51" s="102"/>
      <c r="I51" s="102"/>
      <c r="J51" s="102"/>
      <c r="K51" s="102"/>
      <c r="L51" s="102"/>
      <c r="M51" s="16"/>
      <c r="N51" s="103"/>
    </row>
    <row r="52" spans="1:14" hidden="1" outlineLevel="1" x14ac:dyDescent="0.4">
      <c r="A52" s="92"/>
      <c r="B52" s="100" t="s">
        <v>6</v>
      </c>
      <c r="C52" s="103" t="s">
        <v>55</v>
      </c>
      <c r="D52" s="17"/>
      <c r="E52" s="17"/>
      <c r="F52" s="16"/>
      <c r="G52" s="16"/>
      <c r="H52" s="102"/>
      <c r="I52" s="102"/>
      <c r="J52" s="102"/>
      <c r="K52" s="102"/>
      <c r="L52" s="102"/>
      <c r="M52" s="16"/>
      <c r="N52" s="103"/>
    </row>
    <row r="53" spans="1:14" hidden="1" outlineLevel="1" x14ac:dyDescent="0.4">
      <c r="A53" s="92"/>
      <c r="B53" s="100" t="s">
        <v>6</v>
      </c>
      <c r="C53" s="103" t="s">
        <v>56</v>
      </c>
      <c r="D53" s="17"/>
      <c r="E53" s="17"/>
      <c r="F53" s="16"/>
      <c r="G53" s="16"/>
      <c r="H53" s="102"/>
      <c r="I53" s="102"/>
      <c r="J53" s="102"/>
      <c r="K53" s="102"/>
      <c r="L53" s="102"/>
      <c r="M53" s="16"/>
      <c r="N53" s="103"/>
    </row>
    <row r="54" spans="1:14" hidden="1" outlineLevel="1" x14ac:dyDescent="0.4">
      <c r="A54" s="92"/>
      <c r="B54" s="100"/>
      <c r="C54" s="103"/>
      <c r="D54" s="17"/>
      <c r="E54" s="17"/>
      <c r="F54" s="16"/>
      <c r="G54" s="16"/>
      <c r="H54" s="102"/>
      <c r="I54" s="102"/>
      <c r="J54" s="102"/>
      <c r="K54" s="102"/>
      <c r="L54" s="102"/>
      <c r="M54" s="16"/>
      <c r="N54" s="103"/>
    </row>
    <row r="55" spans="1:14" hidden="1" outlineLevel="1" x14ac:dyDescent="0.4">
      <c r="A55" s="92"/>
      <c r="B55" s="104">
        <v>3</v>
      </c>
      <c r="C55" s="103" t="s">
        <v>27</v>
      </c>
      <c r="D55" s="17"/>
      <c r="E55" s="17"/>
      <c r="F55" s="16"/>
      <c r="G55" s="16"/>
      <c r="H55" s="102"/>
      <c r="I55" s="102"/>
      <c r="J55" s="102"/>
      <c r="K55" s="102"/>
      <c r="L55" s="102"/>
      <c r="M55" s="16"/>
      <c r="N55" s="103"/>
    </row>
    <row r="56" spans="1:14" hidden="1" outlineLevel="1" x14ac:dyDescent="0.4">
      <c r="A56" s="92"/>
      <c r="B56" s="100" t="s">
        <v>6</v>
      </c>
      <c r="C56" s="103" t="s">
        <v>54</v>
      </c>
      <c r="D56" s="17"/>
      <c r="E56" s="17"/>
      <c r="F56" s="16"/>
      <c r="G56" s="16"/>
      <c r="H56" s="102"/>
      <c r="I56" s="102"/>
      <c r="J56" s="102"/>
      <c r="K56" s="102"/>
      <c r="L56" s="102"/>
      <c r="M56" s="16"/>
      <c r="N56" s="103"/>
    </row>
    <row r="57" spans="1:14" hidden="1" outlineLevel="1" x14ac:dyDescent="0.4">
      <c r="A57" s="92"/>
      <c r="B57" s="100" t="s">
        <v>6</v>
      </c>
      <c r="C57" s="103" t="s">
        <v>56</v>
      </c>
      <c r="D57" s="17"/>
      <c r="E57" s="17"/>
      <c r="F57" s="16"/>
      <c r="G57" s="16"/>
      <c r="H57" s="102"/>
      <c r="I57" s="102"/>
      <c r="J57" s="102"/>
      <c r="K57" s="102"/>
      <c r="L57" s="102"/>
      <c r="M57" s="16"/>
      <c r="N57" s="103"/>
    </row>
    <row r="58" spans="1:14" hidden="1" outlineLevel="1" x14ac:dyDescent="0.4">
      <c r="A58" s="92"/>
      <c r="B58" s="100" t="s">
        <v>6</v>
      </c>
      <c r="C58" s="103" t="s">
        <v>57</v>
      </c>
      <c r="D58" s="17"/>
      <c r="E58" s="17"/>
      <c r="F58" s="16"/>
      <c r="G58" s="16"/>
      <c r="H58" s="102"/>
      <c r="I58" s="102"/>
      <c r="J58" s="102"/>
      <c r="K58" s="102"/>
      <c r="L58" s="102"/>
      <c r="M58" s="16"/>
      <c r="N58" s="103"/>
    </row>
    <row r="59" spans="1:14" hidden="1" outlineLevel="1" x14ac:dyDescent="0.4">
      <c r="A59" s="92"/>
      <c r="B59" s="104"/>
      <c r="C59" s="103"/>
      <c r="D59" s="17"/>
      <c r="E59" s="17"/>
      <c r="F59" s="16"/>
      <c r="G59" s="16"/>
      <c r="H59" s="102"/>
      <c r="I59" s="102"/>
      <c r="J59" s="102"/>
      <c r="K59" s="102"/>
      <c r="L59" s="102"/>
      <c r="M59" s="16"/>
      <c r="N59" s="103"/>
    </row>
    <row r="60" spans="1:14" s="2" customFormat="1" collapsed="1" x14ac:dyDescent="0.4">
      <c r="A60" s="3"/>
      <c r="B60" s="48" t="s">
        <v>99</v>
      </c>
      <c r="C60" s="49" t="s">
        <v>46</v>
      </c>
      <c r="D60" s="51">
        <f>SUM(D61:D64)</f>
        <v>0.15</v>
      </c>
      <c r="E60" s="51"/>
      <c r="F60" s="54"/>
      <c r="G60" s="54"/>
      <c r="H60" s="59"/>
      <c r="I60" s="59"/>
      <c r="J60" s="59"/>
      <c r="K60" s="59"/>
      <c r="L60" s="59"/>
      <c r="M60" s="54">
        <f>SUM(M61:M64)</f>
        <v>12</v>
      </c>
      <c r="N60" s="49"/>
    </row>
    <row r="61" spans="1:14" x14ac:dyDescent="0.4">
      <c r="A61" s="99" t="s">
        <v>118</v>
      </c>
      <c r="B61" s="100" t="s">
        <v>6</v>
      </c>
      <c r="C61" s="101" t="str">
        <f>VLOOKUP($A61,[2]PERTANYAAN!$A$18:$E$71,3,0)</f>
        <v>Antusiasme / Keinginan bergabung</v>
      </c>
      <c r="D61" s="46">
        <f>VLOOKUP($A61,[2]PERTANYAAN!$A$18:$E$71,5,0)</f>
        <v>7.4999999999999997E-2</v>
      </c>
      <c r="E61" s="17"/>
      <c r="F61" s="16"/>
      <c r="G61" s="16"/>
      <c r="H61" s="102"/>
      <c r="I61" s="102"/>
      <c r="J61" s="102"/>
      <c r="K61" s="102" t="s">
        <v>16</v>
      </c>
      <c r="L61" s="102"/>
      <c r="M61" s="16">
        <f t="shared" ref="M61:M63" si="2">IF(H61="V",$D61*H$15,IF(I61="V",$D61*I$15,IF(J61="V",$D61*J$15,IF(K61="V",$D61*K$15,IF(L61="V",$D61*L$15,0)))))*100</f>
        <v>6</v>
      </c>
      <c r="N61" s="103"/>
    </row>
    <row r="62" spans="1:14" x14ac:dyDescent="0.4">
      <c r="A62" s="99" t="s">
        <v>119</v>
      </c>
      <c r="B62" s="100" t="s">
        <v>6</v>
      </c>
      <c r="C62" s="101" t="str">
        <f>VLOOKUP($A62,[2]PERTANYAAN!$A$18:$E$71,3,0)</f>
        <v>Inisiatif</v>
      </c>
      <c r="D62" s="46">
        <f>VLOOKUP($A62,[2]PERTANYAAN!$A$18:$E$71,5,0)</f>
        <v>0.05</v>
      </c>
      <c r="E62" s="17"/>
      <c r="F62" s="16"/>
      <c r="G62" s="16"/>
      <c r="H62" s="102"/>
      <c r="I62" s="102"/>
      <c r="J62" s="102"/>
      <c r="K62" s="102" t="s">
        <v>16</v>
      </c>
      <c r="L62" s="102"/>
      <c r="M62" s="16">
        <f t="shared" si="2"/>
        <v>4.0000000000000009</v>
      </c>
      <c r="N62" s="103"/>
    </row>
    <row r="63" spans="1:14" x14ac:dyDescent="0.4">
      <c r="A63" s="99" t="s">
        <v>120</v>
      </c>
      <c r="B63" s="100" t="s">
        <v>6</v>
      </c>
      <c r="C63" s="101" t="str">
        <f>VLOOKUP($A63,[2]PERTANYAAN!$A$18:$E$71,3,0)</f>
        <v>Adaptif</v>
      </c>
      <c r="D63" s="46">
        <f>VLOOKUP($A63,[2]PERTANYAAN!$A$18:$E$71,5,0)</f>
        <v>2.5000000000000001E-2</v>
      </c>
      <c r="E63" s="17"/>
      <c r="F63" s="16"/>
      <c r="G63" s="16"/>
      <c r="H63" s="102"/>
      <c r="I63" s="102"/>
      <c r="J63" s="102"/>
      <c r="K63" s="102" t="s">
        <v>16</v>
      </c>
      <c r="L63" s="102"/>
      <c r="M63" s="16">
        <f t="shared" si="2"/>
        <v>2.0000000000000004</v>
      </c>
      <c r="N63" s="103"/>
    </row>
    <row r="64" spans="1:14" x14ac:dyDescent="0.4">
      <c r="A64" s="92"/>
      <c r="B64" s="104"/>
      <c r="C64" s="103"/>
      <c r="D64" s="17"/>
      <c r="E64" s="17"/>
      <c r="F64" s="16"/>
      <c r="G64" s="16"/>
      <c r="H64" s="102"/>
      <c r="I64" s="102"/>
      <c r="J64" s="102"/>
      <c r="K64" s="102"/>
      <c r="L64" s="102"/>
      <c r="M64" s="16"/>
      <c r="N64" s="103"/>
    </row>
    <row r="65" spans="1:14" s="2" customFormat="1" x14ac:dyDescent="0.4">
      <c r="A65" s="3"/>
      <c r="B65" s="48" t="s">
        <v>100</v>
      </c>
      <c r="C65" s="49" t="s">
        <v>48</v>
      </c>
      <c r="D65" s="51">
        <f>SUM(D66:D68)</f>
        <v>0.05</v>
      </c>
      <c r="E65" s="51"/>
      <c r="F65" s="54"/>
      <c r="G65" s="54"/>
      <c r="H65" s="59"/>
      <c r="I65" s="59"/>
      <c r="J65" s="59"/>
      <c r="K65" s="59"/>
      <c r="L65" s="59"/>
      <c r="M65" s="54">
        <f>SUM(M66:M68)</f>
        <v>3</v>
      </c>
      <c r="N65" s="49"/>
    </row>
    <row r="66" spans="1:14" x14ac:dyDescent="0.4">
      <c r="A66" s="99" t="s">
        <v>121</v>
      </c>
      <c r="B66" s="100" t="s">
        <v>6</v>
      </c>
      <c r="C66" s="101" t="str">
        <f>VLOOKUP($A66,[2]PERTANYAAN!$A$18:$E$71,3,0)</f>
        <v>Ekspektasi Salary (Mengukur Budget &amp; Skill)</v>
      </c>
      <c r="D66" s="46">
        <f>VLOOKUP($A66,[2]PERTANYAAN!$A$18:$E$71,5,0)</f>
        <v>0.04</v>
      </c>
      <c r="E66" s="17"/>
      <c r="F66" s="16"/>
      <c r="G66" s="16"/>
      <c r="H66" s="102"/>
      <c r="I66" s="102"/>
      <c r="J66" s="102" t="s">
        <v>16</v>
      </c>
      <c r="K66" s="102"/>
      <c r="L66" s="102"/>
      <c r="M66" s="16">
        <f t="shared" ref="M66:M67" si="3">IF(H66="V",$D66*H$15,IF(I66="V",$D66*I$15,IF(J66="V",$D66*J$15,IF(K66="V",$D66*K$15,IF(L66="V",$D66*L$15,0)))))*100</f>
        <v>2.4</v>
      </c>
      <c r="N66" s="103"/>
    </row>
    <row r="67" spans="1:14" x14ac:dyDescent="0.4">
      <c r="A67" s="99" t="s">
        <v>122</v>
      </c>
      <c r="B67" s="100" t="s">
        <v>6</v>
      </c>
      <c r="C67" s="101" t="str">
        <f>VLOOKUP($A67,[2]PERTANYAAN!$A$18:$E$71,3,0)</f>
        <v>Tujuan Karir</v>
      </c>
      <c r="D67" s="46">
        <f>VLOOKUP($A67,[2]PERTANYAAN!$A$18:$E$71,5,0)</f>
        <v>0.01</v>
      </c>
      <c r="E67" s="17"/>
      <c r="F67" s="16"/>
      <c r="G67" s="16"/>
      <c r="H67" s="102"/>
      <c r="I67" s="102"/>
      <c r="J67" s="102" t="s">
        <v>16</v>
      </c>
      <c r="K67" s="102"/>
      <c r="L67" s="102"/>
      <c r="M67" s="16">
        <f t="shared" si="3"/>
        <v>0.6</v>
      </c>
      <c r="N67" s="103"/>
    </row>
    <row r="68" spans="1:14" x14ac:dyDescent="0.4">
      <c r="A68" s="99"/>
      <c r="B68" s="104"/>
      <c r="C68" s="103"/>
      <c r="D68" s="17"/>
      <c r="E68" s="17"/>
      <c r="F68" s="16"/>
      <c r="G68" s="16"/>
      <c r="H68" s="102"/>
      <c r="I68" s="102"/>
      <c r="J68" s="102"/>
      <c r="K68" s="102"/>
      <c r="L68" s="102"/>
      <c r="M68" s="16"/>
      <c r="N68" s="103"/>
    </row>
    <row r="69" spans="1:14" s="2" customFormat="1" x14ac:dyDescent="0.4">
      <c r="A69" s="3"/>
      <c r="B69" s="48" t="s">
        <v>101</v>
      </c>
      <c r="C69" s="49" t="s">
        <v>134</v>
      </c>
      <c r="D69" s="51">
        <f>SUM(D70:D70)</f>
        <v>0.05</v>
      </c>
      <c r="E69" s="51"/>
      <c r="F69" s="54"/>
      <c r="G69" s="54"/>
      <c r="H69" s="59"/>
      <c r="I69" s="59"/>
      <c r="J69" s="59"/>
      <c r="K69" s="59"/>
      <c r="L69" s="59"/>
      <c r="M69" s="54">
        <f>SUM(M70)</f>
        <v>4.0000000000000009</v>
      </c>
      <c r="N69" s="49"/>
    </row>
    <row r="70" spans="1:14" x14ac:dyDescent="0.4">
      <c r="A70" s="99" t="s">
        <v>123</v>
      </c>
      <c r="B70" s="100" t="s">
        <v>6</v>
      </c>
      <c r="C70" s="101" t="str">
        <f>VLOOKUP($A70,[2]PERTANYAAN!$A$18:$E$71,3,0)</f>
        <v>Pertanyaan Spesifik User</v>
      </c>
      <c r="D70" s="46">
        <f>VLOOKUP($A70,[2]PERTANYAAN!$A$18:$E$71,5,0)</f>
        <v>0.05</v>
      </c>
      <c r="E70" s="17"/>
      <c r="F70" s="16"/>
      <c r="G70" s="16"/>
      <c r="H70" s="102"/>
      <c r="I70" s="102"/>
      <c r="J70" s="102"/>
      <c r="K70" s="102" t="s">
        <v>16</v>
      </c>
      <c r="L70" s="102"/>
      <c r="M70" s="16">
        <f t="shared" ref="M70" si="4">IF(H70="V",$D70*H$15,IF(I70="V",$D70*I$15,IF(J70="V",$D70*J$15,IF(K70="V",$D70*K$15,IF(L70="V",$D70*L$15,0)))))*100</f>
        <v>4.0000000000000009</v>
      </c>
      <c r="N70" s="103"/>
    </row>
    <row r="71" spans="1:14" x14ac:dyDescent="0.4">
      <c r="B71" s="105"/>
      <c r="C71" s="106"/>
      <c r="D71" s="22"/>
      <c r="E71" s="22"/>
      <c r="F71" s="21"/>
      <c r="G71" s="21"/>
      <c r="H71" s="107"/>
      <c r="I71" s="107"/>
      <c r="J71" s="107"/>
      <c r="K71" s="107"/>
      <c r="L71" s="107"/>
      <c r="M71" s="21"/>
      <c r="N71" s="106"/>
    </row>
    <row r="73" spans="1:14" x14ac:dyDescent="0.4">
      <c r="H73" s="26" t="s">
        <v>61</v>
      </c>
    </row>
    <row r="74" spans="1:14" x14ac:dyDescent="0.4">
      <c r="H74" s="94" t="s">
        <v>39</v>
      </c>
      <c r="I74" s="94" t="s">
        <v>29</v>
      </c>
      <c r="J74" s="95" t="s">
        <v>69</v>
      </c>
    </row>
    <row r="75" spans="1:14" x14ac:dyDescent="0.4">
      <c r="H75" s="94" t="s">
        <v>40</v>
      </c>
      <c r="I75" s="94" t="s">
        <v>29</v>
      </c>
      <c r="J75" s="95" t="s">
        <v>70</v>
      </c>
    </row>
    <row r="76" spans="1:14" x14ac:dyDescent="0.4">
      <c r="H76" s="94" t="s">
        <v>41</v>
      </c>
      <c r="I76" s="94" t="s">
        <v>29</v>
      </c>
      <c r="J76" s="95" t="s">
        <v>71</v>
      </c>
    </row>
    <row r="77" spans="1:14" x14ac:dyDescent="0.4">
      <c r="H77" s="94" t="s">
        <v>42</v>
      </c>
      <c r="I77" s="94" t="s">
        <v>29</v>
      </c>
      <c r="J77" s="95" t="s">
        <v>72</v>
      </c>
    </row>
    <row r="78" spans="1:14" x14ac:dyDescent="0.4">
      <c r="H78" s="94" t="s">
        <v>43</v>
      </c>
      <c r="I78" s="94" t="s">
        <v>29</v>
      </c>
      <c r="J78" s="95" t="s">
        <v>73</v>
      </c>
    </row>
  </sheetData>
  <mergeCells count="8"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7594-09B5-40F9-BB18-BF0F009B6D65}">
  <sheetPr>
    <tabColor rgb="FF92D050"/>
  </sheetPr>
  <dimension ref="A1:N78"/>
  <sheetViews>
    <sheetView zoomScaleNormal="100" workbookViewId="0">
      <pane xSplit="1" ySplit="14" topLeftCell="C15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C13" sqref="C13:C14"/>
    </sheetView>
  </sheetViews>
  <sheetFormatPr defaultColWidth="9" defaultRowHeight="14.6" outlineLevelRow="1" x14ac:dyDescent="0.4"/>
  <cols>
    <col min="1" max="1" width="17.69140625" style="112" customWidth="1"/>
    <col min="2" max="2" width="4.3828125" style="111" customWidth="1"/>
    <col min="3" max="3" width="40.15234375" style="112" customWidth="1"/>
    <col min="4" max="4" width="9" style="80"/>
    <col min="5" max="5" width="1.69140625" style="80" customWidth="1"/>
    <col min="6" max="7" width="9" style="81"/>
    <col min="8" max="12" width="9" style="113"/>
    <col min="13" max="13" width="9" style="81"/>
    <col min="14" max="14" width="16.84375" style="111" customWidth="1"/>
    <col min="15" max="16384" width="9" style="112"/>
  </cols>
  <sheetData>
    <row r="1" spans="1:14" x14ac:dyDescent="0.4">
      <c r="A1" s="110" t="s">
        <v>125</v>
      </c>
    </row>
    <row r="2" spans="1:14" x14ac:dyDescent="0.4">
      <c r="A2" s="110" t="s">
        <v>0</v>
      </c>
    </row>
    <row r="5" spans="1:14" x14ac:dyDescent="0.4">
      <c r="A5" s="110" t="s">
        <v>1</v>
      </c>
      <c r="B5" s="111" t="s">
        <v>29</v>
      </c>
      <c r="C5" s="110" t="s">
        <v>129</v>
      </c>
    </row>
    <row r="6" spans="1:14" x14ac:dyDescent="0.4">
      <c r="A6" s="110" t="s">
        <v>20</v>
      </c>
      <c r="B6" s="111" t="s">
        <v>29</v>
      </c>
      <c r="C6" s="112" t="s">
        <v>31</v>
      </c>
    </row>
    <row r="7" spans="1:14" x14ac:dyDescent="0.4">
      <c r="A7" s="110" t="s">
        <v>32</v>
      </c>
      <c r="B7" s="111" t="s">
        <v>29</v>
      </c>
      <c r="C7" s="112" t="s">
        <v>33</v>
      </c>
    </row>
    <row r="8" spans="1:14" x14ac:dyDescent="0.4">
      <c r="A8" s="110" t="s">
        <v>34</v>
      </c>
      <c r="B8" s="111" t="s">
        <v>29</v>
      </c>
      <c r="C8" s="112" t="s">
        <v>35</v>
      </c>
    </row>
    <row r="9" spans="1:14" x14ac:dyDescent="0.4">
      <c r="A9" s="110" t="s">
        <v>28</v>
      </c>
      <c r="B9" s="111" t="s">
        <v>29</v>
      </c>
      <c r="C9" s="112" t="s">
        <v>160</v>
      </c>
    </row>
    <row r="10" spans="1:14" x14ac:dyDescent="0.4">
      <c r="A10" s="110" t="s">
        <v>38</v>
      </c>
      <c r="B10" s="111" t="s">
        <v>29</v>
      </c>
      <c r="C10" s="110" t="s">
        <v>141</v>
      </c>
      <c r="D10" s="114" t="s">
        <v>92</v>
      </c>
    </row>
    <row r="11" spans="1:14" x14ac:dyDescent="0.4">
      <c r="A11" s="110" t="s">
        <v>67</v>
      </c>
      <c r="B11" s="111" t="s">
        <v>29</v>
      </c>
      <c r="C11" s="115">
        <f>M16</f>
        <v>59</v>
      </c>
    </row>
    <row r="13" spans="1:14" s="110" customFormat="1" x14ac:dyDescent="0.4">
      <c r="A13" s="116" t="s">
        <v>124</v>
      </c>
      <c r="B13" s="117" t="s">
        <v>2</v>
      </c>
      <c r="C13" s="117" t="s">
        <v>3</v>
      </c>
      <c r="D13" s="118" t="s">
        <v>19</v>
      </c>
      <c r="E13" s="119"/>
      <c r="F13" s="120" t="s">
        <v>18</v>
      </c>
      <c r="G13" s="120"/>
      <c r="H13" s="117" t="s">
        <v>37</v>
      </c>
      <c r="I13" s="117"/>
      <c r="J13" s="117"/>
      <c r="K13" s="117"/>
      <c r="L13" s="117"/>
      <c r="M13" s="120" t="s">
        <v>17</v>
      </c>
      <c r="N13" s="121" t="s">
        <v>61</v>
      </c>
    </row>
    <row r="14" spans="1:14" s="110" customFormat="1" x14ac:dyDescent="0.4">
      <c r="A14" s="116"/>
      <c r="B14" s="117"/>
      <c r="C14" s="122"/>
      <c r="D14" s="82"/>
      <c r="E14" s="83"/>
      <c r="F14" s="123" t="s">
        <v>14</v>
      </c>
      <c r="G14" s="123" t="s">
        <v>15</v>
      </c>
      <c r="H14" s="124" t="s">
        <v>39</v>
      </c>
      <c r="I14" s="124" t="s">
        <v>40</v>
      </c>
      <c r="J14" s="124" t="s">
        <v>41</v>
      </c>
      <c r="K14" s="124" t="s">
        <v>42</v>
      </c>
      <c r="L14" s="124" t="s">
        <v>43</v>
      </c>
      <c r="M14" s="120"/>
      <c r="N14" s="121"/>
    </row>
    <row r="15" spans="1:14" s="110" customFormat="1" x14ac:dyDescent="0.4">
      <c r="B15" s="125"/>
      <c r="C15" s="125"/>
      <c r="D15" s="125"/>
      <c r="E15" s="84"/>
      <c r="F15" s="126"/>
      <c r="G15" s="126"/>
      <c r="H15" s="127">
        <v>0.2</v>
      </c>
      <c r="I15" s="127">
        <v>0.4</v>
      </c>
      <c r="J15" s="127">
        <v>0.6</v>
      </c>
      <c r="K15" s="127">
        <v>0.8</v>
      </c>
      <c r="L15" s="127">
        <v>1</v>
      </c>
      <c r="M15" s="126"/>
      <c r="N15" s="153"/>
    </row>
    <row r="16" spans="1:14" s="110" customFormat="1" x14ac:dyDescent="0.4">
      <c r="A16" s="129"/>
      <c r="B16" s="130"/>
      <c r="C16" s="131" t="s">
        <v>65</v>
      </c>
      <c r="D16" s="130"/>
      <c r="E16" s="130"/>
      <c r="F16" s="132"/>
      <c r="G16" s="132"/>
      <c r="H16" s="130"/>
      <c r="I16" s="130"/>
      <c r="J16" s="130"/>
      <c r="K16" s="130"/>
      <c r="L16" s="130"/>
      <c r="M16" s="133">
        <f>M17+M21+M27+M43+M60+M65+M69</f>
        <v>59</v>
      </c>
      <c r="N16" s="154"/>
    </row>
    <row r="17" spans="1:14" x14ac:dyDescent="0.4">
      <c r="B17" s="135" t="s">
        <v>66</v>
      </c>
      <c r="C17" s="136" t="s">
        <v>8</v>
      </c>
      <c r="D17" s="137">
        <f>SUM(D18:D19)</f>
        <v>0.1</v>
      </c>
      <c r="E17" s="137"/>
      <c r="F17" s="138"/>
      <c r="G17" s="138"/>
      <c r="H17" s="139"/>
      <c r="I17" s="139"/>
      <c r="J17" s="139"/>
      <c r="K17" s="139"/>
      <c r="L17" s="139"/>
      <c r="M17" s="138">
        <f>SUM(M18:M20)</f>
        <v>4</v>
      </c>
      <c r="N17" s="155"/>
    </row>
    <row r="18" spans="1:14" x14ac:dyDescent="0.4">
      <c r="A18" s="141" t="s">
        <v>102</v>
      </c>
      <c r="B18" s="142">
        <v>1</v>
      </c>
      <c r="C18" s="143" t="str">
        <f>VLOOKUP($A18,[1]PERTANYAAN!$A$18:$E$71,3,0)</f>
        <v>Pengalaman di dalam Daniswara Group</v>
      </c>
      <c r="D18" s="85">
        <f>VLOOKUP($A18,[1]PERTANYAAN!$A$18:$E$71,5,0)</f>
        <v>0.06</v>
      </c>
      <c r="E18" s="86"/>
      <c r="F18" s="87"/>
      <c r="G18" s="87"/>
      <c r="H18" s="144"/>
      <c r="I18" s="144"/>
      <c r="J18" s="144"/>
      <c r="K18" s="144"/>
      <c r="L18" s="144"/>
      <c r="M18" s="87">
        <f t="shared" ref="M18:M25" si="0">IF(F18="V",D18*100,0)</f>
        <v>0</v>
      </c>
      <c r="N18" s="142"/>
    </row>
    <row r="19" spans="1:14" x14ac:dyDescent="0.4">
      <c r="A19" s="141" t="s">
        <v>103</v>
      </c>
      <c r="B19" s="142">
        <f t="shared" ref="B19:B25" si="1">B18+1</f>
        <v>2</v>
      </c>
      <c r="C19" s="143" t="str">
        <f>VLOOKUP($A19,[1]PERTANYAAN!$A$18:$E$71,3,0)</f>
        <v>Pengalaman di luar Daniswara Group</v>
      </c>
      <c r="D19" s="85">
        <f>VLOOKUP($A19,[1]PERTANYAAN!$A$18:$E$71,5,0)</f>
        <v>0.04</v>
      </c>
      <c r="E19" s="86"/>
      <c r="F19" s="87" t="s">
        <v>16</v>
      </c>
      <c r="G19" s="87"/>
      <c r="H19" s="144"/>
      <c r="I19" s="144"/>
      <c r="J19" s="144"/>
      <c r="K19" s="144"/>
      <c r="L19" s="144"/>
      <c r="M19" s="87">
        <f t="shared" si="0"/>
        <v>4</v>
      </c>
      <c r="N19" s="142"/>
    </row>
    <row r="20" spans="1:14" x14ac:dyDescent="0.4">
      <c r="A20" s="111"/>
      <c r="B20" s="142"/>
      <c r="C20" s="145"/>
      <c r="D20" s="86"/>
      <c r="E20" s="86"/>
      <c r="F20" s="87"/>
      <c r="G20" s="87"/>
      <c r="H20" s="144"/>
      <c r="I20" s="144"/>
      <c r="J20" s="144"/>
      <c r="K20" s="144"/>
      <c r="L20" s="144"/>
      <c r="M20" s="87"/>
      <c r="N20" s="142"/>
    </row>
    <row r="21" spans="1:14" x14ac:dyDescent="0.4">
      <c r="A21" s="111"/>
      <c r="B21" s="135" t="s">
        <v>42</v>
      </c>
      <c r="C21" s="136" t="s">
        <v>9</v>
      </c>
      <c r="D21" s="137">
        <f>SUM(D22:D25)</f>
        <v>0.05</v>
      </c>
      <c r="E21" s="137"/>
      <c r="F21" s="138"/>
      <c r="G21" s="138"/>
      <c r="H21" s="139"/>
      <c r="I21" s="139"/>
      <c r="J21" s="139"/>
      <c r="K21" s="139"/>
      <c r="L21" s="139"/>
      <c r="M21" s="138">
        <f>SUM(M22:M25)</f>
        <v>5</v>
      </c>
      <c r="N21" s="155"/>
    </row>
    <row r="22" spans="1:14" x14ac:dyDescent="0.4">
      <c r="A22" s="141" t="s">
        <v>104</v>
      </c>
      <c r="B22" s="142">
        <v>1</v>
      </c>
      <c r="C22" s="143" t="str">
        <f>VLOOKUP($A22,[1]PERTANYAAN!$A$18:$E$71,3,0)</f>
        <v>Identitas (KTP &amp; KK)</v>
      </c>
      <c r="D22" s="85">
        <f>VLOOKUP($A22,[1]PERTANYAAN!$A$18:$E$71,5,0)</f>
        <v>0.01</v>
      </c>
      <c r="E22" s="86"/>
      <c r="F22" s="87" t="s">
        <v>16</v>
      </c>
      <c r="G22" s="87"/>
      <c r="H22" s="144"/>
      <c r="I22" s="144"/>
      <c r="J22" s="144"/>
      <c r="K22" s="144"/>
      <c r="L22" s="144"/>
      <c r="M22" s="87">
        <f t="shared" si="0"/>
        <v>1</v>
      </c>
      <c r="N22" s="142"/>
    </row>
    <row r="23" spans="1:14" x14ac:dyDescent="0.4">
      <c r="A23" s="141" t="s">
        <v>105</v>
      </c>
      <c r="B23" s="142">
        <f t="shared" si="1"/>
        <v>2</v>
      </c>
      <c r="C23" s="143" t="str">
        <f>VLOOKUP($A23,[1]PERTANYAAN!$A$18:$E$71,3,0)</f>
        <v>SIM A (utk jabatan di Divisi Operasi)</v>
      </c>
      <c r="D23" s="85">
        <f>VLOOKUP($A23,[1]PERTANYAAN!$A$18:$E$71,5,0)</f>
        <v>0.02</v>
      </c>
      <c r="E23" s="86"/>
      <c r="F23" s="87" t="s">
        <v>16</v>
      </c>
      <c r="G23" s="87"/>
      <c r="H23" s="144"/>
      <c r="I23" s="144"/>
      <c r="J23" s="144"/>
      <c r="K23" s="144"/>
      <c r="L23" s="144"/>
      <c r="M23" s="87">
        <f t="shared" si="0"/>
        <v>2</v>
      </c>
      <c r="N23" s="142"/>
    </row>
    <row r="24" spans="1:14" x14ac:dyDescent="0.4">
      <c r="A24" s="141" t="s">
        <v>106</v>
      </c>
      <c r="B24" s="142">
        <f t="shared" si="1"/>
        <v>3</v>
      </c>
      <c r="C24" s="143" t="str">
        <f>VLOOKUP($A24,[1]PERTANYAAN!$A$18:$E$71,3,0)</f>
        <v>SIM C</v>
      </c>
      <c r="D24" s="85">
        <f>VLOOKUP($A24,[1]PERTANYAAN!$A$18:$E$71,5,0)</f>
        <v>0.01</v>
      </c>
      <c r="E24" s="86"/>
      <c r="F24" s="87" t="s">
        <v>16</v>
      </c>
      <c r="G24" s="87"/>
      <c r="H24" s="144"/>
      <c r="I24" s="144"/>
      <c r="J24" s="144"/>
      <c r="K24" s="144"/>
      <c r="L24" s="144"/>
      <c r="M24" s="87">
        <f t="shared" si="0"/>
        <v>1</v>
      </c>
      <c r="N24" s="142"/>
    </row>
    <row r="25" spans="1:14" x14ac:dyDescent="0.4">
      <c r="A25" s="141" t="s">
        <v>107</v>
      </c>
      <c r="B25" s="142">
        <f t="shared" si="1"/>
        <v>4</v>
      </c>
      <c r="C25" s="143" t="str">
        <f>VLOOKUP($A25,[1]PERTANYAAN!$A$18:$E$71,3,0)</f>
        <v>NPWP</v>
      </c>
      <c r="D25" s="85">
        <f>VLOOKUP($A25,[1]PERTANYAAN!$A$18:$E$71,5,0)</f>
        <v>0.01</v>
      </c>
      <c r="E25" s="86"/>
      <c r="F25" s="87" t="s">
        <v>16</v>
      </c>
      <c r="G25" s="87"/>
      <c r="H25" s="144"/>
      <c r="I25" s="144"/>
      <c r="J25" s="144"/>
      <c r="K25" s="144"/>
      <c r="L25" s="144"/>
      <c r="M25" s="87">
        <f t="shared" si="0"/>
        <v>1</v>
      </c>
      <c r="N25" s="142"/>
    </row>
    <row r="26" spans="1:14" x14ac:dyDescent="0.4">
      <c r="A26" s="111"/>
      <c r="B26" s="142"/>
      <c r="C26" s="145"/>
      <c r="D26" s="86"/>
      <c r="E26" s="86"/>
      <c r="F26" s="87"/>
      <c r="G26" s="87"/>
      <c r="H26" s="144"/>
      <c r="I26" s="144"/>
      <c r="J26" s="144"/>
      <c r="K26" s="144"/>
      <c r="L26" s="144"/>
      <c r="M26" s="87"/>
      <c r="N26" s="142"/>
    </row>
    <row r="27" spans="1:14" x14ac:dyDescent="0.4">
      <c r="A27" s="111"/>
      <c r="B27" s="135" t="s">
        <v>97</v>
      </c>
      <c r="C27" s="136" t="s">
        <v>21</v>
      </c>
      <c r="D27" s="137">
        <f>D28</f>
        <v>0.35000000000000003</v>
      </c>
      <c r="E27" s="88"/>
      <c r="F27" s="89"/>
      <c r="G27" s="89"/>
      <c r="H27" s="139"/>
      <c r="I27" s="139"/>
      <c r="J27" s="139"/>
      <c r="K27" s="139"/>
      <c r="L27" s="139"/>
      <c r="M27" s="138">
        <f>M28</f>
        <v>17</v>
      </c>
      <c r="N27" s="155"/>
    </row>
    <row r="28" spans="1:14" x14ac:dyDescent="0.4">
      <c r="A28" s="141" t="s">
        <v>108</v>
      </c>
      <c r="B28" s="142">
        <v>1</v>
      </c>
      <c r="C28" s="143" t="str">
        <f>VLOOKUP($A28,[1]PERTANYAAN!$A$18:$E$71,3,0)</f>
        <v>Operasi / Logistik</v>
      </c>
      <c r="D28" s="85">
        <f>VLOOKUP($A28,[1]PERTANYAAN!$A$18:$E$71,5,0)</f>
        <v>0.35000000000000003</v>
      </c>
      <c r="E28" s="86"/>
      <c r="F28" s="87"/>
      <c r="G28" s="87"/>
      <c r="H28" s="144"/>
      <c r="I28" s="144"/>
      <c r="J28" s="144"/>
      <c r="K28" s="144"/>
      <c r="L28" s="144"/>
      <c r="M28" s="87">
        <f>SUM(M29:M33)</f>
        <v>17</v>
      </c>
      <c r="N28" s="142"/>
    </row>
    <row r="29" spans="1:14" x14ac:dyDescent="0.4">
      <c r="A29" s="141" t="s">
        <v>109</v>
      </c>
      <c r="B29" s="146" t="s">
        <v>6</v>
      </c>
      <c r="C29" s="143" t="str">
        <f>VLOOKUP($A29,[1]PERTANYAAN!$A$18:$E$71,3,0)</f>
        <v>Skill Mengemudi</v>
      </c>
      <c r="D29" s="85">
        <f>VLOOKUP($A29,[1]PERTANYAAN!$A$18:$E$71,5,0)</f>
        <v>0.15</v>
      </c>
      <c r="E29" s="86"/>
      <c r="F29" s="87"/>
      <c r="G29" s="87"/>
      <c r="H29" s="144"/>
      <c r="I29" s="144"/>
      <c r="J29" s="144" t="s">
        <v>16</v>
      </c>
      <c r="K29" s="144"/>
      <c r="L29" s="144"/>
      <c r="M29" s="87">
        <f t="shared" ref="M29:M32" si="2">IF(H29="V",$D29*H$15,IF(I29="V",$D29*I$15,IF(J29="V",$D29*J$15,IF(K29="V",$D29*K$15,IF(L29="V",$D29*L$15,0)))))*100</f>
        <v>9</v>
      </c>
      <c r="N29" s="142"/>
    </row>
    <row r="30" spans="1:14" x14ac:dyDescent="0.4">
      <c r="A30" s="141" t="s">
        <v>110</v>
      </c>
      <c r="B30" s="146" t="s">
        <v>6</v>
      </c>
      <c r="C30" s="143" t="str">
        <f>VLOOKUP($A30,[1]PERTANYAAN!$A$18:$E$71,3,0)</f>
        <v>Flow Administrasi Logistik</v>
      </c>
      <c r="D30" s="85">
        <f>VLOOKUP($A30,[1]PERTANYAAN!$A$18:$E$71,5,0)</f>
        <v>0.1</v>
      </c>
      <c r="E30" s="86"/>
      <c r="F30" s="87"/>
      <c r="G30" s="87"/>
      <c r="H30" s="144"/>
      <c r="I30" s="144" t="s">
        <v>16</v>
      </c>
      <c r="J30" s="144"/>
      <c r="K30" s="144"/>
      <c r="L30" s="144"/>
      <c r="M30" s="87">
        <f t="shared" si="2"/>
        <v>4.0000000000000009</v>
      </c>
      <c r="N30" s="142"/>
    </row>
    <row r="31" spans="1:14" x14ac:dyDescent="0.4">
      <c r="A31" s="141" t="s">
        <v>111</v>
      </c>
      <c r="B31" s="146" t="s">
        <v>6</v>
      </c>
      <c r="C31" s="143" t="str">
        <f>VLOOKUP($A31,[1]PERTANYAAN!$A$18:$E$71,3,0)</f>
        <v>Pengetahuan terkait logistik</v>
      </c>
      <c r="D31" s="85">
        <f>VLOOKUP($A31,[1]PERTANYAAN!$A$18:$E$71,5,0)</f>
        <v>2.5000000000000001E-2</v>
      </c>
      <c r="E31" s="86"/>
      <c r="F31" s="87"/>
      <c r="G31" s="87"/>
      <c r="H31" s="144"/>
      <c r="I31" s="144" t="s">
        <v>16</v>
      </c>
      <c r="J31" s="144"/>
      <c r="K31" s="144"/>
      <c r="L31" s="144"/>
      <c r="M31" s="87">
        <f t="shared" si="2"/>
        <v>1.0000000000000002</v>
      </c>
      <c r="N31" s="142"/>
    </row>
    <row r="32" spans="1:14" x14ac:dyDescent="0.4">
      <c r="A32" s="141" t="s">
        <v>112</v>
      </c>
      <c r="B32" s="146" t="s">
        <v>6</v>
      </c>
      <c r="C32" s="143" t="str">
        <f>VLOOKUP($A32,[1]PERTANYAAN!$A$18:$E$71,3,0)</f>
        <v>Pengalaman di Bongkar Muat</v>
      </c>
      <c r="D32" s="85">
        <f>VLOOKUP($A32,[1]PERTANYAAN!$A$18:$E$71,5,0)</f>
        <v>7.4999999999999997E-2</v>
      </c>
      <c r="E32" s="86"/>
      <c r="F32" s="87"/>
      <c r="G32" s="87"/>
      <c r="H32" s="144"/>
      <c r="I32" s="144" t="s">
        <v>16</v>
      </c>
      <c r="J32" s="144"/>
      <c r="K32" s="144"/>
      <c r="L32" s="144"/>
      <c r="M32" s="87">
        <f t="shared" si="2"/>
        <v>3</v>
      </c>
      <c r="N32" s="142"/>
    </row>
    <row r="33" spans="1:14" x14ac:dyDescent="0.4">
      <c r="A33" s="111"/>
      <c r="B33" s="142"/>
      <c r="C33" s="145"/>
      <c r="D33" s="86"/>
      <c r="E33" s="86"/>
      <c r="F33" s="87"/>
      <c r="G33" s="87"/>
      <c r="H33" s="144"/>
      <c r="I33" s="144"/>
      <c r="J33" s="144"/>
      <c r="K33" s="144"/>
      <c r="L33" s="144"/>
      <c r="M33" s="87"/>
      <c r="N33" s="142"/>
    </row>
    <row r="34" spans="1:14" hidden="1" outlineLevel="1" x14ac:dyDescent="0.4">
      <c r="A34" s="111"/>
      <c r="B34" s="142">
        <f>B28+1</f>
        <v>2</v>
      </c>
      <c r="C34" s="145" t="s">
        <v>22</v>
      </c>
      <c r="D34" s="86">
        <f>SUM(D35:D37)</f>
        <v>0.35</v>
      </c>
      <c r="E34" s="86"/>
      <c r="F34" s="87"/>
      <c r="G34" s="87"/>
      <c r="H34" s="144"/>
      <c r="I34" s="144"/>
      <c r="J34" s="144"/>
      <c r="K34" s="144"/>
      <c r="L34" s="144"/>
      <c r="M34" s="87"/>
      <c r="N34" s="142"/>
    </row>
    <row r="35" spans="1:14" hidden="1" outlineLevel="1" x14ac:dyDescent="0.4">
      <c r="A35" s="111"/>
      <c r="B35" s="146" t="s">
        <v>6</v>
      </c>
      <c r="C35" s="145" t="s">
        <v>44</v>
      </c>
      <c r="D35" s="86">
        <v>0.15</v>
      </c>
      <c r="E35" s="86"/>
      <c r="F35" s="87"/>
      <c r="G35" s="87"/>
      <c r="H35" s="144"/>
      <c r="I35" s="144"/>
      <c r="J35" s="144"/>
      <c r="K35" s="144"/>
      <c r="L35" s="144"/>
      <c r="M35" s="87"/>
      <c r="N35" s="142"/>
    </row>
    <row r="36" spans="1:14" hidden="1" outlineLevel="1" x14ac:dyDescent="0.4">
      <c r="A36" s="111"/>
      <c r="B36" s="146" t="s">
        <v>6</v>
      </c>
      <c r="C36" s="145" t="s">
        <v>50</v>
      </c>
      <c r="D36" s="86">
        <v>0.2</v>
      </c>
      <c r="E36" s="86"/>
      <c r="F36" s="87"/>
      <c r="G36" s="87"/>
      <c r="H36" s="144"/>
      <c r="I36" s="144"/>
      <c r="J36" s="144"/>
      <c r="K36" s="144"/>
      <c r="L36" s="144"/>
      <c r="M36" s="87"/>
      <c r="N36" s="142"/>
    </row>
    <row r="37" spans="1:14" hidden="1" outlineLevel="1" x14ac:dyDescent="0.4">
      <c r="A37" s="111"/>
      <c r="B37" s="142"/>
      <c r="C37" s="145"/>
      <c r="D37" s="86"/>
      <c r="E37" s="86"/>
      <c r="F37" s="87"/>
      <c r="G37" s="87"/>
      <c r="H37" s="144"/>
      <c r="I37" s="144"/>
      <c r="J37" s="144"/>
      <c r="K37" s="144"/>
      <c r="L37" s="144"/>
      <c r="M37" s="87"/>
      <c r="N37" s="142"/>
    </row>
    <row r="38" spans="1:14" hidden="1" outlineLevel="1" x14ac:dyDescent="0.4">
      <c r="A38" s="111"/>
      <c r="B38" s="142">
        <v>3</v>
      </c>
      <c r="C38" s="145" t="s">
        <v>23</v>
      </c>
      <c r="D38" s="86"/>
      <c r="E38" s="86"/>
      <c r="F38" s="87"/>
      <c r="G38" s="87"/>
      <c r="H38" s="144"/>
      <c r="I38" s="144"/>
      <c r="J38" s="144"/>
      <c r="K38" s="144"/>
      <c r="L38" s="144"/>
      <c r="M38" s="87"/>
      <c r="N38" s="142"/>
    </row>
    <row r="39" spans="1:14" hidden="1" outlineLevel="1" x14ac:dyDescent="0.4">
      <c r="A39" s="111"/>
      <c r="B39" s="146" t="s">
        <v>6</v>
      </c>
      <c r="C39" s="145" t="s">
        <v>52</v>
      </c>
      <c r="D39" s="86"/>
      <c r="E39" s="86"/>
      <c r="F39" s="87"/>
      <c r="G39" s="87"/>
      <c r="H39" s="144"/>
      <c r="I39" s="144"/>
      <c r="J39" s="144"/>
      <c r="K39" s="144"/>
      <c r="L39" s="144"/>
      <c r="M39" s="87"/>
      <c r="N39" s="142"/>
    </row>
    <row r="40" spans="1:14" hidden="1" outlineLevel="1" x14ac:dyDescent="0.4">
      <c r="A40" s="111"/>
      <c r="B40" s="146" t="s">
        <v>6</v>
      </c>
      <c r="C40" s="145" t="s">
        <v>53</v>
      </c>
      <c r="D40" s="86"/>
      <c r="E40" s="86"/>
      <c r="F40" s="87"/>
      <c r="G40" s="87"/>
      <c r="H40" s="144"/>
      <c r="I40" s="144"/>
      <c r="J40" s="144"/>
      <c r="K40" s="144"/>
      <c r="L40" s="144"/>
      <c r="M40" s="87"/>
      <c r="N40" s="142"/>
    </row>
    <row r="41" spans="1:14" hidden="1" outlineLevel="1" x14ac:dyDescent="0.4">
      <c r="A41" s="111"/>
      <c r="B41" s="146" t="s">
        <v>6</v>
      </c>
      <c r="C41" s="145"/>
      <c r="D41" s="86"/>
      <c r="E41" s="86"/>
      <c r="F41" s="87"/>
      <c r="G41" s="87"/>
      <c r="H41" s="144"/>
      <c r="I41" s="144"/>
      <c r="J41" s="144"/>
      <c r="K41" s="144"/>
      <c r="L41" s="144"/>
      <c r="M41" s="87"/>
      <c r="N41" s="142"/>
    </row>
    <row r="42" spans="1:14" hidden="1" outlineLevel="1" x14ac:dyDescent="0.4">
      <c r="A42" s="111"/>
      <c r="B42" s="142"/>
      <c r="C42" s="145"/>
      <c r="D42" s="86"/>
      <c r="E42" s="86"/>
      <c r="F42" s="87"/>
      <c r="G42" s="87"/>
      <c r="H42" s="144"/>
      <c r="I42" s="144"/>
      <c r="J42" s="144"/>
      <c r="K42" s="144"/>
      <c r="L42" s="144"/>
      <c r="M42" s="87"/>
      <c r="N42" s="142"/>
    </row>
    <row r="43" spans="1:14" s="110" customFormat="1" collapsed="1" x14ac:dyDescent="0.4">
      <c r="A43" s="129"/>
      <c r="B43" s="135" t="s">
        <v>98</v>
      </c>
      <c r="C43" s="136" t="s">
        <v>24</v>
      </c>
      <c r="D43" s="137">
        <f>D44</f>
        <v>0.25</v>
      </c>
      <c r="E43" s="137"/>
      <c r="F43" s="138"/>
      <c r="G43" s="138"/>
      <c r="H43" s="147"/>
      <c r="I43" s="147"/>
      <c r="J43" s="147"/>
      <c r="K43" s="147"/>
      <c r="L43" s="147"/>
      <c r="M43" s="138">
        <f>M44</f>
        <v>16.500000000000004</v>
      </c>
      <c r="N43" s="135"/>
    </row>
    <row r="44" spans="1:14" x14ac:dyDescent="0.4">
      <c r="A44" s="111" t="s">
        <v>113</v>
      </c>
      <c r="B44" s="142">
        <v>1</v>
      </c>
      <c r="C44" s="143" t="str">
        <f>VLOOKUP($A44,[1]PERTANYAAN!$A$18:$E$71,3,0)</f>
        <v>Staff</v>
      </c>
      <c r="D44" s="85">
        <f>VLOOKUP($A44,[1]PERTANYAAN!$A$18:$E$71,5,0)</f>
        <v>0.25</v>
      </c>
      <c r="E44" s="86"/>
      <c r="F44" s="87"/>
      <c r="G44" s="87"/>
      <c r="H44" s="144"/>
      <c r="I44" s="144"/>
      <c r="J44" s="144"/>
      <c r="K44" s="144"/>
      <c r="L44" s="144"/>
      <c r="M44" s="87">
        <f>SUM(M45:M48)</f>
        <v>16.500000000000004</v>
      </c>
      <c r="N44" s="142"/>
    </row>
    <row r="45" spans="1:14" x14ac:dyDescent="0.4">
      <c r="A45" s="141" t="s">
        <v>114</v>
      </c>
      <c r="B45" s="146" t="s">
        <v>6</v>
      </c>
      <c r="C45" s="143" t="str">
        <f>VLOOKUP($A45,[1]PERTANYAAN!$A$18:$E$71,3,0)</f>
        <v>Kepemimpinan</v>
      </c>
      <c r="D45" s="85">
        <f>VLOOKUP($A45,[1]PERTANYAAN!$A$18:$E$71,5,0)</f>
        <v>2.5000000000000001E-2</v>
      </c>
      <c r="E45" s="86"/>
      <c r="F45" s="87"/>
      <c r="G45" s="87"/>
      <c r="H45" s="144"/>
      <c r="I45" s="144"/>
      <c r="J45" s="144" t="s">
        <v>16</v>
      </c>
      <c r="K45" s="144"/>
      <c r="L45" s="144"/>
      <c r="M45" s="87">
        <f t="shared" ref="M45:M48" si="3">IF(H45="V",$D45*H$15,IF(I45="V",$D45*I$15,IF(J45="V",$D45*J$15,IF(K45="V",$D45*K$15,IF(L45="V",$D45*L$15,0)))))*100</f>
        <v>1.5</v>
      </c>
      <c r="N45" s="142"/>
    </row>
    <row r="46" spans="1:14" x14ac:dyDescent="0.4">
      <c r="A46" s="141" t="s">
        <v>115</v>
      </c>
      <c r="B46" s="146" t="s">
        <v>6</v>
      </c>
      <c r="C46" s="143" t="str">
        <f>VLOOKUP($A46,[1]PERTANYAAN!$A$18:$E$71,3,0)</f>
        <v>Komunikasi</v>
      </c>
      <c r="D46" s="85">
        <f>VLOOKUP($A46,[1]PERTANYAAN!$A$18:$E$71,5,0)</f>
        <v>0.1</v>
      </c>
      <c r="E46" s="86"/>
      <c r="F46" s="87"/>
      <c r="G46" s="87"/>
      <c r="H46" s="144"/>
      <c r="I46" s="144"/>
      <c r="J46" s="144"/>
      <c r="K46" s="144" t="s">
        <v>16</v>
      </c>
      <c r="L46" s="144"/>
      <c r="M46" s="87">
        <f t="shared" si="3"/>
        <v>8.0000000000000018</v>
      </c>
      <c r="N46" s="142"/>
    </row>
    <row r="47" spans="1:14" x14ac:dyDescent="0.4">
      <c r="A47" s="141" t="s">
        <v>116</v>
      </c>
      <c r="B47" s="146" t="s">
        <v>6</v>
      </c>
      <c r="C47" s="143" t="str">
        <f>VLOOKUP($A47,[1]PERTANYAAN!$A$18:$E$71,3,0)</f>
        <v>Patuh pada Peraturan / Commitment</v>
      </c>
      <c r="D47" s="85">
        <f>VLOOKUP($A47,[1]PERTANYAAN!$A$18:$E$71,5,0)</f>
        <v>0.05</v>
      </c>
      <c r="E47" s="86"/>
      <c r="F47" s="87"/>
      <c r="G47" s="87"/>
      <c r="H47" s="144"/>
      <c r="I47" s="144"/>
      <c r="J47" s="144"/>
      <c r="K47" s="144" t="s">
        <v>16</v>
      </c>
      <c r="L47" s="144"/>
      <c r="M47" s="87">
        <f t="shared" si="3"/>
        <v>4.0000000000000009</v>
      </c>
      <c r="N47" s="142"/>
    </row>
    <row r="48" spans="1:14" x14ac:dyDescent="0.4">
      <c r="A48" s="141" t="s">
        <v>117</v>
      </c>
      <c r="B48" s="146" t="s">
        <v>6</v>
      </c>
      <c r="C48" s="143" t="str">
        <f>VLOOKUP($A48,[1]PERTANYAAN!$A$18:$E$71,3,0)</f>
        <v>Determinasi thd tekanan</v>
      </c>
      <c r="D48" s="85">
        <f>VLOOKUP($A48,[1]PERTANYAAN!$A$18:$E$71,5,0)</f>
        <v>7.4999999999999997E-2</v>
      </c>
      <c r="E48" s="86"/>
      <c r="F48" s="87"/>
      <c r="G48" s="87"/>
      <c r="H48" s="144"/>
      <c r="I48" s="144" t="s">
        <v>16</v>
      </c>
      <c r="J48" s="144"/>
      <c r="K48" s="144"/>
      <c r="L48" s="144"/>
      <c r="M48" s="87">
        <f t="shared" si="3"/>
        <v>3</v>
      </c>
      <c r="N48" s="142"/>
    </row>
    <row r="49" spans="1:14" x14ac:dyDescent="0.4">
      <c r="A49" s="111"/>
      <c r="B49" s="142"/>
      <c r="C49" s="145"/>
      <c r="D49" s="86"/>
      <c r="E49" s="86"/>
      <c r="F49" s="87"/>
      <c r="G49" s="87"/>
      <c r="H49" s="144"/>
      <c r="I49" s="144"/>
      <c r="J49" s="144"/>
      <c r="K49" s="144"/>
      <c r="L49" s="144"/>
      <c r="M49" s="87"/>
      <c r="N49" s="142"/>
    </row>
    <row r="50" spans="1:14" hidden="1" outlineLevel="1" x14ac:dyDescent="0.4">
      <c r="A50" s="111"/>
      <c r="B50" s="142">
        <v>2</v>
      </c>
      <c r="C50" s="145" t="s">
        <v>26</v>
      </c>
      <c r="D50" s="86"/>
      <c r="E50" s="86"/>
      <c r="F50" s="87"/>
      <c r="G50" s="87"/>
      <c r="H50" s="144"/>
      <c r="I50" s="144"/>
      <c r="J50" s="144"/>
      <c r="K50" s="144"/>
      <c r="L50" s="144"/>
      <c r="M50" s="87"/>
      <c r="N50" s="142"/>
    </row>
    <row r="51" spans="1:14" hidden="1" outlineLevel="1" x14ac:dyDescent="0.4">
      <c r="A51" s="111"/>
      <c r="B51" s="146" t="s">
        <v>6</v>
      </c>
      <c r="C51" s="145" t="s">
        <v>54</v>
      </c>
      <c r="D51" s="86"/>
      <c r="E51" s="86"/>
      <c r="F51" s="87"/>
      <c r="G51" s="87"/>
      <c r="H51" s="144"/>
      <c r="I51" s="144"/>
      <c r="J51" s="144"/>
      <c r="K51" s="144"/>
      <c r="L51" s="144"/>
      <c r="M51" s="87"/>
      <c r="N51" s="142"/>
    </row>
    <row r="52" spans="1:14" hidden="1" outlineLevel="1" x14ac:dyDescent="0.4">
      <c r="A52" s="111"/>
      <c r="B52" s="146" t="s">
        <v>6</v>
      </c>
      <c r="C52" s="145" t="s">
        <v>55</v>
      </c>
      <c r="D52" s="86"/>
      <c r="E52" s="86"/>
      <c r="F52" s="87"/>
      <c r="G52" s="87"/>
      <c r="H52" s="144"/>
      <c r="I52" s="144"/>
      <c r="J52" s="144"/>
      <c r="K52" s="144"/>
      <c r="L52" s="144"/>
      <c r="M52" s="87"/>
      <c r="N52" s="142"/>
    </row>
    <row r="53" spans="1:14" hidden="1" outlineLevel="1" x14ac:dyDescent="0.4">
      <c r="A53" s="111"/>
      <c r="B53" s="146" t="s">
        <v>6</v>
      </c>
      <c r="C53" s="145" t="s">
        <v>56</v>
      </c>
      <c r="D53" s="86"/>
      <c r="E53" s="86"/>
      <c r="F53" s="87"/>
      <c r="G53" s="87"/>
      <c r="H53" s="144"/>
      <c r="I53" s="144"/>
      <c r="J53" s="144"/>
      <c r="K53" s="144"/>
      <c r="L53" s="144"/>
      <c r="M53" s="87"/>
      <c r="N53" s="142"/>
    </row>
    <row r="54" spans="1:14" hidden="1" outlineLevel="1" x14ac:dyDescent="0.4">
      <c r="A54" s="111"/>
      <c r="B54" s="142"/>
      <c r="C54" s="145"/>
      <c r="D54" s="86"/>
      <c r="E54" s="86"/>
      <c r="F54" s="87"/>
      <c r="G54" s="87"/>
      <c r="H54" s="144"/>
      <c r="I54" s="144"/>
      <c r="J54" s="144"/>
      <c r="K54" s="144"/>
      <c r="L54" s="144"/>
      <c r="M54" s="87"/>
      <c r="N54" s="142"/>
    </row>
    <row r="55" spans="1:14" hidden="1" outlineLevel="1" x14ac:dyDescent="0.4">
      <c r="A55" s="111"/>
      <c r="B55" s="142">
        <v>3</v>
      </c>
      <c r="C55" s="145" t="s">
        <v>27</v>
      </c>
      <c r="D55" s="86"/>
      <c r="E55" s="86"/>
      <c r="F55" s="87"/>
      <c r="G55" s="87"/>
      <c r="H55" s="144"/>
      <c r="I55" s="144"/>
      <c r="J55" s="144"/>
      <c r="K55" s="144"/>
      <c r="L55" s="144"/>
      <c r="M55" s="87"/>
      <c r="N55" s="142"/>
    </row>
    <row r="56" spans="1:14" hidden="1" outlineLevel="1" x14ac:dyDescent="0.4">
      <c r="A56" s="111"/>
      <c r="B56" s="146" t="s">
        <v>6</v>
      </c>
      <c r="C56" s="145" t="s">
        <v>54</v>
      </c>
      <c r="D56" s="86"/>
      <c r="E56" s="86"/>
      <c r="F56" s="87"/>
      <c r="G56" s="87"/>
      <c r="H56" s="144"/>
      <c r="I56" s="144"/>
      <c r="J56" s="144"/>
      <c r="K56" s="144"/>
      <c r="L56" s="144"/>
      <c r="M56" s="87"/>
      <c r="N56" s="142"/>
    </row>
    <row r="57" spans="1:14" hidden="1" outlineLevel="1" x14ac:dyDescent="0.4">
      <c r="A57" s="111"/>
      <c r="B57" s="146" t="s">
        <v>6</v>
      </c>
      <c r="C57" s="145" t="s">
        <v>56</v>
      </c>
      <c r="D57" s="86"/>
      <c r="E57" s="86"/>
      <c r="F57" s="87"/>
      <c r="G57" s="87"/>
      <c r="H57" s="144"/>
      <c r="I57" s="144"/>
      <c r="J57" s="144"/>
      <c r="K57" s="144"/>
      <c r="L57" s="144"/>
      <c r="M57" s="87"/>
      <c r="N57" s="142"/>
    </row>
    <row r="58" spans="1:14" hidden="1" outlineLevel="1" x14ac:dyDescent="0.4">
      <c r="A58" s="111"/>
      <c r="B58" s="146" t="s">
        <v>6</v>
      </c>
      <c r="C58" s="145" t="s">
        <v>57</v>
      </c>
      <c r="D58" s="86"/>
      <c r="E58" s="86"/>
      <c r="F58" s="87"/>
      <c r="G58" s="87"/>
      <c r="H58" s="144"/>
      <c r="I58" s="144"/>
      <c r="J58" s="144"/>
      <c r="K58" s="144"/>
      <c r="L58" s="144"/>
      <c r="M58" s="87"/>
      <c r="N58" s="142"/>
    </row>
    <row r="59" spans="1:14" hidden="1" outlineLevel="1" x14ac:dyDescent="0.4">
      <c r="A59" s="111"/>
      <c r="B59" s="142"/>
      <c r="C59" s="145"/>
      <c r="D59" s="86"/>
      <c r="E59" s="86"/>
      <c r="F59" s="87"/>
      <c r="G59" s="87"/>
      <c r="H59" s="144"/>
      <c r="I59" s="144"/>
      <c r="J59" s="144"/>
      <c r="K59" s="144"/>
      <c r="L59" s="144"/>
      <c r="M59" s="87"/>
      <c r="N59" s="142"/>
    </row>
    <row r="60" spans="1:14" s="110" customFormat="1" collapsed="1" x14ac:dyDescent="0.4">
      <c r="A60" s="129"/>
      <c r="B60" s="135" t="s">
        <v>99</v>
      </c>
      <c r="C60" s="136" t="s">
        <v>46</v>
      </c>
      <c r="D60" s="137">
        <f>SUM(D61:D64)</f>
        <v>0.15</v>
      </c>
      <c r="E60" s="137"/>
      <c r="F60" s="138"/>
      <c r="G60" s="138"/>
      <c r="H60" s="147"/>
      <c r="I60" s="147"/>
      <c r="J60" s="147"/>
      <c r="K60" s="147"/>
      <c r="L60" s="147"/>
      <c r="M60" s="138">
        <f>SUM(M61:M64)</f>
        <v>9.5</v>
      </c>
      <c r="N60" s="135"/>
    </row>
    <row r="61" spans="1:14" x14ac:dyDescent="0.4">
      <c r="A61" s="141" t="s">
        <v>118</v>
      </c>
      <c r="B61" s="146" t="s">
        <v>6</v>
      </c>
      <c r="C61" s="143" t="str">
        <f>VLOOKUP($A61,[1]PERTANYAAN!$A$18:$E$71,3,0)</f>
        <v>Antusiasme / Keinginan bergabung</v>
      </c>
      <c r="D61" s="85">
        <f>VLOOKUP($A61,[1]PERTANYAAN!$A$18:$E$71,5,0)</f>
        <v>7.4999999999999997E-2</v>
      </c>
      <c r="E61" s="86"/>
      <c r="F61" s="87"/>
      <c r="G61" s="87"/>
      <c r="H61" s="144"/>
      <c r="I61" s="144"/>
      <c r="J61" s="144" t="s">
        <v>16</v>
      </c>
      <c r="K61" s="144"/>
      <c r="L61" s="144"/>
      <c r="M61" s="87">
        <f t="shared" ref="M61:M63" si="4">IF(H61="V",$D61*H$15,IF(I61="V",$D61*I$15,IF(J61="V",$D61*J$15,IF(K61="V",$D61*K$15,IF(L61="V",$D61*L$15,0)))))*100</f>
        <v>4.5</v>
      </c>
      <c r="N61" s="142"/>
    </row>
    <row r="62" spans="1:14" x14ac:dyDescent="0.4">
      <c r="A62" s="141" t="s">
        <v>119</v>
      </c>
      <c r="B62" s="146" t="s">
        <v>6</v>
      </c>
      <c r="C62" s="143" t="str">
        <f>VLOOKUP($A62,[1]PERTANYAAN!$A$18:$E$71,3,0)</f>
        <v>Inisiatif</v>
      </c>
      <c r="D62" s="85">
        <f>VLOOKUP($A62,[1]PERTANYAAN!$A$18:$E$71,5,0)</f>
        <v>0.05</v>
      </c>
      <c r="E62" s="86"/>
      <c r="F62" s="87"/>
      <c r="G62" s="87"/>
      <c r="H62" s="144"/>
      <c r="I62" s="144"/>
      <c r="J62" s="144" t="s">
        <v>16</v>
      </c>
      <c r="K62" s="144"/>
      <c r="L62" s="144"/>
      <c r="M62" s="87">
        <f t="shared" si="4"/>
        <v>3</v>
      </c>
      <c r="N62" s="142"/>
    </row>
    <row r="63" spans="1:14" x14ac:dyDescent="0.4">
      <c r="A63" s="141" t="s">
        <v>120</v>
      </c>
      <c r="B63" s="146" t="s">
        <v>6</v>
      </c>
      <c r="C63" s="143" t="str">
        <f>VLOOKUP($A63,[1]PERTANYAAN!$A$18:$E$71,3,0)</f>
        <v>Adaptif</v>
      </c>
      <c r="D63" s="85">
        <f>VLOOKUP($A63,[1]PERTANYAAN!$A$18:$E$71,5,0)</f>
        <v>2.5000000000000001E-2</v>
      </c>
      <c r="E63" s="86"/>
      <c r="F63" s="87"/>
      <c r="G63" s="87"/>
      <c r="H63" s="144"/>
      <c r="I63" s="144"/>
      <c r="J63" s="144"/>
      <c r="K63" s="144" t="s">
        <v>16</v>
      </c>
      <c r="L63" s="144"/>
      <c r="M63" s="87">
        <f t="shared" si="4"/>
        <v>2.0000000000000004</v>
      </c>
      <c r="N63" s="142"/>
    </row>
    <row r="64" spans="1:14" x14ac:dyDescent="0.4">
      <c r="A64" s="111"/>
      <c r="B64" s="142"/>
      <c r="C64" s="145"/>
      <c r="D64" s="86"/>
      <c r="E64" s="86"/>
      <c r="F64" s="87"/>
      <c r="G64" s="87"/>
      <c r="H64" s="144"/>
      <c r="I64" s="144"/>
      <c r="J64" s="144"/>
      <c r="K64" s="144"/>
      <c r="L64" s="144"/>
      <c r="M64" s="87"/>
      <c r="N64" s="142"/>
    </row>
    <row r="65" spans="1:14" s="110" customFormat="1" x14ac:dyDescent="0.4">
      <c r="A65" s="129"/>
      <c r="B65" s="135" t="s">
        <v>100</v>
      </c>
      <c r="C65" s="136" t="s">
        <v>48</v>
      </c>
      <c r="D65" s="137">
        <f>SUM(D66:D68)</f>
        <v>0.05</v>
      </c>
      <c r="E65" s="137"/>
      <c r="F65" s="138"/>
      <c r="G65" s="138"/>
      <c r="H65" s="147"/>
      <c r="I65" s="147"/>
      <c r="J65" s="147"/>
      <c r="K65" s="147"/>
      <c r="L65" s="147"/>
      <c r="M65" s="138">
        <f>SUM(M66:M68)</f>
        <v>3</v>
      </c>
      <c r="N65" s="135"/>
    </row>
    <row r="66" spans="1:14" x14ac:dyDescent="0.4">
      <c r="A66" s="141" t="s">
        <v>121</v>
      </c>
      <c r="B66" s="146" t="s">
        <v>6</v>
      </c>
      <c r="C66" s="143" t="str">
        <f>VLOOKUP($A66,[1]PERTANYAAN!$A$18:$E$71,3,0)</f>
        <v>Ekspektasi Salary (Mengukur Budget &amp; Skill)</v>
      </c>
      <c r="D66" s="85">
        <f>VLOOKUP($A66,[1]PERTANYAAN!$A$18:$E$71,5,0)</f>
        <v>0.04</v>
      </c>
      <c r="E66" s="86"/>
      <c r="F66" s="87"/>
      <c r="G66" s="87"/>
      <c r="H66" s="144"/>
      <c r="I66" s="144"/>
      <c r="J66" s="144" t="s">
        <v>16</v>
      </c>
      <c r="K66" s="144"/>
      <c r="L66" s="144"/>
      <c r="M66" s="87">
        <f t="shared" ref="M66:M70" si="5">IF(H66="V",$D66*H$15,IF(I66="V",$D66*I$15,IF(J66="V",$D66*J$15,IF(K66="V",$D66*K$15,IF(L66="V",$D66*L$15,0)))))*100</f>
        <v>2.4</v>
      </c>
      <c r="N66" s="142" t="s">
        <v>161</v>
      </c>
    </row>
    <row r="67" spans="1:14" x14ac:dyDescent="0.4">
      <c r="A67" s="141" t="s">
        <v>122</v>
      </c>
      <c r="B67" s="146" t="s">
        <v>6</v>
      </c>
      <c r="C67" s="143" t="str">
        <f>VLOOKUP($A67,[1]PERTANYAAN!$A$18:$E$71,3,0)</f>
        <v>Tujuan Karir</v>
      </c>
      <c r="D67" s="85">
        <f>VLOOKUP($A67,[1]PERTANYAAN!$A$18:$E$71,5,0)</f>
        <v>0.01</v>
      </c>
      <c r="E67" s="86"/>
      <c r="F67" s="87"/>
      <c r="G67" s="87"/>
      <c r="H67" s="144"/>
      <c r="I67" s="144"/>
      <c r="J67" s="144" t="s">
        <v>16</v>
      </c>
      <c r="K67" s="144"/>
      <c r="L67" s="144"/>
      <c r="M67" s="87">
        <f t="shared" si="5"/>
        <v>0.6</v>
      </c>
      <c r="N67" s="142"/>
    </row>
    <row r="68" spans="1:14" x14ac:dyDescent="0.4">
      <c r="A68" s="141"/>
      <c r="B68" s="142"/>
      <c r="C68" s="145"/>
      <c r="D68" s="86"/>
      <c r="E68" s="86"/>
      <c r="F68" s="87"/>
      <c r="G68" s="87"/>
      <c r="H68" s="144"/>
      <c r="I68" s="144"/>
      <c r="J68" s="144"/>
      <c r="K68" s="144"/>
      <c r="L68" s="144"/>
      <c r="M68" s="87"/>
      <c r="N68" s="142"/>
    </row>
    <row r="69" spans="1:14" s="110" customFormat="1" x14ac:dyDescent="0.4">
      <c r="A69" s="129"/>
      <c r="B69" s="135" t="s">
        <v>101</v>
      </c>
      <c r="C69" s="136" t="s">
        <v>134</v>
      </c>
      <c r="D69" s="137">
        <f>SUM(D70:D70)</f>
        <v>0.05</v>
      </c>
      <c r="E69" s="137"/>
      <c r="F69" s="138"/>
      <c r="G69" s="138"/>
      <c r="H69" s="147"/>
      <c r="I69" s="147"/>
      <c r="J69" s="147"/>
      <c r="K69" s="147"/>
      <c r="L69" s="147"/>
      <c r="M69" s="138">
        <f>SUM(M70)</f>
        <v>4.0000000000000009</v>
      </c>
      <c r="N69" s="135"/>
    </row>
    <row r="70" spans="1:14" x14ac:dyDescent="0.4">
      <c r="A70" s="141" t="s">
        <v>123</v>
      </c>
      <c r="B70" s="146" t="s">
        <v>6</v>
      </c>
      <c r="C70" s="143" t="str">
        <f>VLOOKUP($A70,[1]PERTANYAAN!$A$18:$E$71,3,0)</f>
        <v>Pertanyaan Spesifik User</v>
      </c>
      <c r="D70" s="85">
        <f>VLOOKUP($A70,[1]PERTANYAAN!$A$18:$E$71,5,0)</f>
        <v>0.05</v>
      </c>
      <c r="E70" s="86"/>
      <c r="F70" s="87"/>
      <c r="G70" s="87"/>
      <c r="H70" s="144"/>
      <c r="I70" s="144"/>
      <c r="J70" s="144"/>
      <c r="K70" s="144" t="s">
        <v>16</v>
      </c>
      <c r="L70" s="144"/>
      <c r="M70" s="87">
        <f t="shared" si="5"/>
        <v>4.0000000000000009</v>
      </c>
      <c r="N70" s="142"/>
    </row>
    <row r="71" spans="1:14" x14ac:dyDescent="0.4">
      <c r="B71" s="148"/>
      <c r="C71" s="149"/>
      <c r="D71" s="90"/>
      <c r="E71" s="90"/>
      <c r="F71" s="91"/>
      <c r="G71" s="91"/>
      <c r="H71" s="150"/>
      <c r="I71" s="150"/>
      <c r="J71" s="150"/>
      <c r="K71" s="150"/>
      <c r="L71" s="150"/>
      <c r="M71" s="91"/>
      <c r="N71" s="148"/>
    </row>
    <row r="73" spans="1:14" x14ac:dyDescent="0.4">
      <c r="H73" s="151" t="s">
        <v>61</v>
      </c>
    </row>
    <row r="74" spans="1:14" x14ac:dyDescent="0.4">
      <c r="H74" s="113" t="s">
        <v>39</v>
      </c>
      <c r="I74" s="113" t="s">
        <v>29</v>
      </c>
      <c r="J74" s="152" t="s">
        <v>69</v>
      </c>
    </row>
    <row r="75" spans="1:14" x14ac:dyDescent="0.4">
      <c r="H75" s="113" t="s">
        <v>40</v>
      </c>
      <c r="I75" s="113" t="s">
        <v>29</v>
      </c>
      <c r="J75" s="152" t="s">
        <v>70</v>
      </c>
    </row>
    <row r="76" spans="1:14" x14ac:dyDescent="0.4">
      <c r="H76" s="113" t="s">
        <v>41</v>
      </c>
      <c r="I76" s="113" t="s">
        <v>29</v>
      </c>
      <c r="J76" s="152" t="s">
        <v>71</v>
      </c>
    </row>
    <row r="77" spans="1:14" x14ac:dyDescent="0.4">
      <c r="H77" s="113" t="s">
        <v>42</v>
      </c>
      <c r="I77" s="113" t="s">
        <v>29</v>
      </c>
      <c r="J77" s="152" t="s">
        <v>72</v>
      </c>
    </row>
    <row r="78" spans="1:14" x14ac:dyDescent="0.4">
      <c r="H78" s="113" t="s">
        <v>43</v>
      </c>
      <c r="I78" s="113" t="s">
        <v>29</v>
      </c>
      <c r="J78" s="152" t="s">
        <v>73</v>
      </c>
    </row>
  </sheetData>
  <mergeCells count="8"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C39C-C4BC-4B32-A28D-1A351998CD7F}">
  <sheetPr>
    <tabColor rgb="FF92D050"/>
  </sheetPr>
  <dimension ref="A1:N78"/>
  <sheetViews>
    <sheetView zoomScaleNormal="100" workbookViewId="0">
      <pane xSplit="1" ySplit="14" topLeftCell="B33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C13" sqref="C13:C14"/>
    </sheetView>
  </sheetViews>
  <sheetFormatPr defaultColWidth="9" defaultRowHeight="14.6" outlineLevelRow="1" x14ac:dyDescent="0.4"/>
  <cols>
    <col min="1" max="1" width="17.69140625" style="112" customWidth="1"/>
    <col min="2" max="2" width="4.3828125" style="111" customWidth="1"/>
    <col min="3" max="3" width="40.15234375" style="112" customWidth="1"/>
    <col min="4" max="4" width="9" style="80"/>
    <col min="5" max="5" width="1.69140625" style="80" customWidth="1"/>
    <col min="6" max="7" width="9" style="81"/>
    <col min="8" max="12" width="9" style="113"/>
    <col min="13" max="13" width="9" style="81"/>
    <col min="14" max="14" width="16.84375" style="112" customWidth="1"/>
    <col min="15" max="16384" width="9" style="112"/>
  </cols>
  <sheetData>
    <row r="1" spans="1:14" x14ac:dyDescent="0.4">
      <c r="A1" s="110" t="s">
        <v>125</v>
      </c>
    </row>
    <row r="2" spans="1:14" x14ac:dyDescent="0.4">
      <c r="A2" s="110" t="s">
        <v>0</v>
      </c>
    </row>
    <row r="5" spans="1:14" x14ac:dyDescent="0.4">
      <c r="A5" s="110" t="s">
        <v>1</v>
      </c>
      <c r="B5" s="111" t="s">
        <v>29</v>
      </c>
      <c r="C5" s="110" t="s">
        <v>162</v>
      </c>
    </row>
    <row r="6" spans="1:14" x14ac:dyDescent="0.4">
      <c r="A6" s="110" t="s">
        <v>20</v>
      </c>
      <c r="B6" s="111" t="s">
        <v>29</v>
      </c>
      <c r="C6" s="112" t="s">
        <v>31</v>
      </c>
    </row>
    <row r="7" spans="1:14" x14ac:dyDescent="0.4">
      <c r="A7" s="110" t="s">
        <v>32</v>
      </c>
      <c r="B7" s="111" t="s">
        <v>29</v>
      </c>
      <c r="C7" s="112" t="s">
        <v>33</v>
      </c>
    </row>
    <row r="8" spans="1:14" x14ac:dyDescent="0.4">
      <c r="A8" s="110" t="s">
        <v>34</v>
      </c>
      <c r="B8" s="111" t="s">
        <v>29</v>
      </c>
      <c r="C8" s="112" t="s">
        <v>35</v>
      </c>
    </row>
    <row r="9" spans="1:14" x14ac:dyDescent="0.4">
      <c r="A9" s="110" t="s">
        <v>28</v>
      </c>
      <c r="B9" s="111" t="s">
        <v>29</v>
      </c>
      <c r="C9" s="112" t="s">
        <v>163</v>
      </c>
    </row>
    <row r="10" spans="1:14" x14ac:dyDescent="0.4">
      <c r="A10" s="110" t="s">
        <v>38</v>
      </c>
      <c r="B10" s="111" t="s">
        <v>29</v>
      </c>
      <c r="C10" s="110" t="s">
        <v>141</v>
      </c>
      <c r="D10" s="114" t="s">
        <v>92</v>
      </c>
    </row>
    <row r="11" spans="1:14" x14ac:dyDescent="0.4">
      <c r="A11" s="110" t="s">
        <v>67</v>
      </c>
      <c r="B11" s="111" t="s">
        <v>29</v>
      </c>
      <c r="C11" s="115">
        <f>M16</f>
        <v>78.599999999999994</v>
      </c>
    </row>
    <row r="13" spans="1:14" s="110" customFormat="1" x14ac:dyDescent="0.4">
      <c r="A13" s="116" t="s">
        <v>124</v>
      </c>
      <c r="B13" s="117" t="s">
        <v>2</v>
      </c>
      <c r="C13" s="117" t="s">
        <v>3</v>
      </c>
      <c r="D13" s="118" t="s">
        <v>19</v>
      </c>
      <c r="E13" s="119"/>
      <c r="F13" s="120" t="s">
        <v>18</v>
      </c>
      <c r="G13" s="120"/>
      <c r="H13" s="117" t="s">
        <v>37</v>
      </c>
      <c r="I13" s="117"/>
      <c r="J13" s="117"/>
      <c r="K13" s="117"/>
      <c r="L13" s="117"/>
      <c r="M13" s="120" t="s">
        <v>17</v>
      </c>
      <c r="N13" s="121" t="s">
        <v>61</v>
      </c>
    </row>
    <row r="14" spans="1:14" s="110" customFormat="1" x14ac:dyDescent="0.4">
      <c r="A14" s="116"/>
      <c r="B14" s="117"/>
      <c r="C14" s="122"/>
      <c r="D14" s="82"/>
      <c r="E14" s="83"/>
      <c r="F14" s="123" t="s">
        <v>14</v>
      </c>
      <c r="G14" s="123" t="s">
        <v>15</v>
      </c>
      <c r="H14" s="124" t="s">
        <v>39</v>
      </c>
      <c r="I14" s="124" t="s">
        <v>40</v>
      </c>
      <c r="J14" s="124" t="s">
        <v>41</v>
      </c>
      <c r="K14" s="124" t="s">
        <v>42</v>
      </c>
      <c r="L14" s="124" t="s">
        <v>43</v>
      </c>
      <c r="M14" s="120"/>
      <c r="N14" s="121"/>
    </row>
    <row r="15" spans="1:14" s="110" customFormat="1" x14ac:dyDescent="0.4">
      <c r="B15" s="125"/>
      <c r="C15" s="125"/>
      <c r="D15" s="125"/>
      <c r="E15" s="84"/>
      <c r="F15" s="126"/>
      <c r="G15" s="126"/>
      <c r="H15" s="127">
        <v>0.2</v>
      </c>
      <c r="I15" s="127">
        <v>0.4</v>
      </c>
      <c r="J15" s="127">
        <v>0.6</v>
      </c>
      <c r="K15" s="127">
        <v>0.8</v>
      </c>
      <c r="L15" s="127">
        <v>1</v>
      </c>
      <c r="M15" s="126"/>
      <c r="N15" s="128"/>
    </row>
    <row r="16" spans="1:14" s="110" customFormat="1" x14ac:dyDescent="0.4">
      <c r="A16" s="129"/>
      <c r="B16" s="130"/>
      <c r="C16" s="131" t="s">
        <v>65</v>
      </c>
      <c r="D16" s="130"/>
      <c r="E16" s="130"/>
      <c r="F16" s="132"/>
      <c r="G16" s="132"/>
      <c r="H16" s="130"/>
      <c r="I16" s="130"/>
      <c r="J16" s="130"/>
      <c r="K16" s="130"/>
      <c r="L16" s="130"/>
      <c r="M16" s="133">
        <f>M17+M21+M27+M43+M60+M65+M69</f>
        <v>78.599999999999994</v>
      </c>
      <c r="N16" s="134"/>
    </row>
    <row r="17" spans="1:14" x14ac:dyDescent="0.4">
      <c r="B17" s="135" t="s">
        <v>66</v>
      </c>
      <c r="C17" s="136" t="s">
        <v>8</v>
      </c>
      <c r="D17" s="137">
        <f>SUM(D18:D19)</f>
        <v>0.1</v>
      </c>
      <c r="E17" s="137"/>
      <c r="F17" s="138"/>
      <c r="G17" s="138"/>
      <c r="H17" s="139"/>
      <c r="I17" s="139"/>
      <c r="J17" s="139"/>
      <c r="K17" s="139"/>
      <c r="L17" s="139"/>
      <c r="M17" s="138">
        <f>SUM(M18:M20)</f>
        <v>4</v>
      </c>
      <c r="N17" s="140"/>
    </row>
    <row r="18" spans="1:14" x14ac:dyDescent="0.4">
      <c r="A18" s="141" t="s">
        <v>102</v>
      </c>
      <c r="B18" s="142">
        <v>1</v>
      </c>
      <c r="C18" s="143" t="str">
        <f>VLOOKUP($A18,[1]PERTANYAAN!$A$18:$E$71,3,0)</f>
        <v>Pengalaman di dalam Daniswara Group</v>
      </c>
      <c r="D18" s="85">
        <f>VLOOKUP($A18,[1]PERTANYAAN!$A$18:$E$71,5,0)</f>
        <v>0.06</v>
      </c>
      <c r="E18" s="86"/>
      <c r="F18" s="87"/>
      <c r="G18" s="87"/>
      <c r="H18" s="144"/>
      <c r="I18" s="144"/>
      <c r="J18" s="144"/>
      <c r="K18" s="144"/>
      <c r="L18" s="144"/>
      <c r="M18" s="87">
        <f t="shared" ref="M18:M25" si="0">IF(F18="V",D18*100,0)</f>
        <v>0</v>
      </c>
      <c r="N18" s="145"/>
    </row>
    <row r="19" spans="1:14" x14ac:dyDescent="0.4">
      <c r="A19" s="141" t="s">
        <v>103</v>
      </c>
      <c r="B19" s="142">
        <f t="shared" ref="B19:B25" si="1">B18+1</f>
        <v>2</v>
      </c>
      <c r="C19" s="143" t="str">
        <f>VLOOKUP($A19,[1]PERTANYAAN!$A$18:$E$71,3,0)</f>
        <v>Pengalaman di luar Daniswara Group</v>
      </c>
      <c r="D19" s="85">
        <f>VLOOKUP($A19,[1]PERTANYAAN!$A$18:$E$71,5,0)</f>
        <v>0.04</v>
      </c>
      <c r="E19" s="86"/>
      <c r="F19" s="87" t="s">
        <v>16</v>
      </c>
      <c r="G19" s="87"/>
      <c r="H19" s="144"/>
      <c r="I19" s="144"/>
      <c r="J19" s="144"/>
      <c r="K19" s="144"/>
      <c r="L19" s="144"/>
      <c r="M19" s="87">
        <f t="shared" si="0"/>
        <v>4</v>
      </c>
      <c r="N19" s="145"/>
    </row>
    <row r="20" spans="1:14" x14ac:dyDescent="0.4">
      <c r="A20" s="111"/>
      <c r="B20" s="142"/>
      <c r="C20" s="145"/>
      <c r="D20" s="86"/>
      <c r="E20" s="86"/>
      <c r="F20" s="87"/>
      <c r="G20" s="87"/>
      <c r="H20" s="144"/>
      <c r="I20" s="144"/>
      <c r="J20" s="144"/>
      <c r="K20" s="144"/>
      <c r="L20" s="144"/>
      <c r="M20" s="87"/>
      <c r="N20" s="145"/>
    </row>
    <row r="21" spans="1:14" x14ac:dyDescent="0.4">
      <c r="A21" s="111"/>
      <c r="B21" s="135" t="s">
        <v>42</v>
      </c>
      <c r="C21" s="136" t="s">
        <v>9</v>
      </c>
      <c r="D21" s="137">
        <f>SUM(D22:D25)</f>
        <v>0.05</v>
      </c>
      <c r="E21" s="137"/>
      <c r="F21" s="138"/>
      <c r="G21" s="138"/>
      <c r="H21" s="139"/>
      <c r="I21" s="139"/>
      <c r="J21" s="139"/>
      <c r="K21" s="139"/>
      <c r="L21" s="139"/>
      <c r="M21" s="138">
        <f>SUM(M22:M25)</f>
        <v>4</v>
      </c>
      <c r="N21" s="140"/>
    </row>
    <row r="22" spans="1:14" x14ac:dyDescent="0.4">
      <c r="A22" s="141" t="s">
        <v>104</v>
      </c>
      <c r="B22" s="142">
        <v>1</v>
      </c>
      <c r="C22" s="143" t="str">
        <f>VLOOKUP($A22,[1]PERTANYAAN!$A$18:$E$71,3,0)</f>
        <v>Identitas (KTP &amp; KK)</v>
      </c>
      <c r="D22" s="85">
        <f>VLOOKUP($A22,[1]PERTANYAAN!$A$18:$E$71,5,0)</f>
        <v>0.01</v>
      </c>
      <c r="E22" s="86"/>
      <c r="F22" s="87" t="s">
        <v>16</v>
      </c>
      <c r="G22" s="87"/>
      <c r="H22" s="144"/>
      <c r="I22" s="144"/>
      <c r="J22" s="144"/>
      <c r="K22" s="144"/>
      <c r="L22" s="144"/>
      <c r="M22" s="87">
        <f t="shared" si="0"/>
        <v>1</v>
      </c>
      <c r="N22" s="145"/>
    </row>
    <row r="23" spans="1:14" x14ac:dyDescent="0.4">
      <c r="A23" s="141" t="s">
        <v>105</v>
      </c>
      <c r="B23" s="142">
        <f t="shared" si="1"/>
        <v>2</v>
      </c>
      <c r="C23" s="143" t="str">
        <f>VLOOKUP($A23,[1]PERTANYAAN!$A$18:$E$71,3,0)</f>
        <v>SIM A (utk jabatan di Divisi Operasi)</v>
      </c>
      <c r="D23" s="85">
        <f>VLOOKUP($A23,[1]PERTANYAAN!$A$18:$E$71,5,0)</f>
        <v>0.02</v>
      </c>
      <c r="E23" s="86"/>
      <c r="F23" s="87" t="s">
        <v>16</v>
      </c>
      <c r="G23" s="87"/>
      <c r="H23" s="144"/>
      <c r="I23" s="144"/>
      <c r="J23" s="144"/>
      <c r="K23" s="144"/>
      <c r="L23" s="144"/>
      <c r="M23" s="87">
        <f t="shared" si="0"/>
        <v>2</v>
      </c>
      <c r="N23" s="145"/>
    </row>
    <row r="24" spans="1:14" x14ac:dyDescent="0.4">
      <c r="A24" s="141" t="s">
        <v>106</v>
      </c>
      <c r="B24" s="142">
        <f t="shared" si="1"/>
        <v>3</v>
      </c>
      <c r="C24" s="143" t="str">
        <f>VLOOKUP($A24,[1]PERTANYAAN!$A$18:$E$71,3,0)</f>
        <v>SIM C</v>
      </c>
      <c r="D24" s="85">
        <f>VLOOKUP($A24,[1]PERTANYAAN!$A$18:$E$71,5,0)</f>
        <v>0.01</v>
      </c>
      <c r="E24" s="86"/>
      <c r="F24" s="87"/>
      <c r="G24" s="87" t="s">
        <v>16</v>
      </c>
      <c r="H24" s="144"/>
      <c r="I24" s="144"/>
      <c r="J24" s="144"/>
      <c r="K24" s="144"/>
      <c r="L24" s="144"/>
      <c r="M24" s="87">
        <f t="shared" si="0"/>
        <v>0</v>
      </c>
      <c r="N24" s="145"/>
    </row>
    <row r="25" spans="1:14" x14ac:dyDescent="0.4">
      <c r="A25" s="141" t="s">
        <v>107</v>
      </c>
      <c r="B25" s="142">
        <f t="shared" si="1"/>
        <v>4</v>
      </c>
      <c r="C25" s="143" t="str">
        <f>VLOOKUP($A25,[1]PERTANYAAN!$A$18:$E$71,3,0)</f>
        <v>NPWP</v>
      </c>
      <c r="D25" s="85">
        <f>VLOOKUP($A25,[1]PERTANYAAN!$A$18:$E$71,5,0)</f>
        <v>0.01</v>
      </c>
      <c r="E25" s="86"/>
      <c r="F25" s="87" t="s">
        <v>16</v>
      </c>
      <c r="G25" s="87"/>
      <c r="H25" s="144"/>
      <c r="I25" s="144"/>
      <c r="J25" s="144"/>
      <c r="K25" s="144"/>
      <c r="L25" s="144"/>
      <c r="M25" s="87">
        <f t="shared" si="0"/>
        <v>1</v>
      </c>
      <c r="N25" s="145"/>
    </row>
    <row r="26" spans="1:14" x14ac:dyDescent="0.4">
      <c r="A26" s="111"/>
      <c r="B26" s="142"/>
      <c r="C26" s="145"/>
      <c r="D26" s="86"/>
      <c r="E26" s="86"/>
      <c r="F26" s="87"/>
      <c r="G26" s="87"/>
      <c r="H26" s="144"/>
      <c r="I26" s="144"/>
      <c r="J26" s="144"/>
      <c r="K26" s="144"/>
      <c r="L26" s="144"/>
      <c r="M26" s="87"/>
      <c r="N26" s="145"/>
    </row>
    <row r="27" spans="1:14" x14ac:dyDescent="0.4">
      <c r="A27" s="111"/>
      <c r="B27" s="135" t="s">
        <v>97</v>
      </c>
      <c r="C27" s="136" t="s">
        <v>21</v>
      </c>
      <c r="D27" s="137">
        <f>D28</f>
        <v>0.35000000000000003</v>
      </c>
      <c r="E27" s="88"/>
      <c r="F27" s="89"/>
      <c r="G27" s="89"/>
      <c r="H27" s="139"/>
      <c r="I27" s="139"/>
      <c r="J27" s="139"/>
      <c r="K27" s="139"/>
      <c r="L27" s="139"/>
      <c r="M27" s="138">
        <f>M28</f>
        <v>32.5</v>
      </c>
      <c r="N27" s="140"/>
    </row>
    <row r="28" spans="1:14" x14ac:dyDescent="0.4">
      <c r="A28" s="141" t="s">
        <v>108</v>
      </c>
      <c r="B28" s="142">
        <v>1</v>
      </c>
      <c r="C28" s="143" t="str">
        <f>VLOOKUP($A28,[1]PERTANYAAN!$A$18:$E$71,3,0)</f>
        <v>Operasi / Logistik</v>
      </c>
      <c r="D28" s="85">
        <f>VLOOKUP($A28,[1]PERTANYAAN!$A$18:$E$71,5,0)</f>
        <v>0.35000000000000003</v>
      </c>
      <c r="E28" s="86"/>
      <c r="F28" s="87"/>
      <c r="G28" s="87"/>
      <c r="H28" s="144"/>
      <c r="I28" s="144"/>
      <c r="J28" s="144"/>
      <c r="K28" s="144"/>
      <c r="L28" s="144"/>
      <c r="M28" s="87">
        <f>SUM(M29:M33)</f>
        <v>32.5</v>
      </c>
      <c r="N28" s="145"/>
    </row>
    <row r="29" spans="1:14" x14ac:dyDescent="0.4">
      <c r="A29" s="141" t="s">
        <v>109</v>
      </c>
      <c r="B29" s="146" t="s">
        <v>6</v>
      </c>
      <c r="C29" s="143" t="str">
        <f>VLOOKUP($A29,[1]PERTANYAAN!$A$18:$E$71,3,0)</f>
        <v>Skill Mengemudi</v>
      </c>
      <c r="D29" s="85">
        <f>VLOOKUP($A29,[1]PERTANYAAN!$A$18:$E$71,5,0)</f>
        <v>0.15</v>
      </c>
      <c r="E29" s="86"/>
      <c r="F29" s="87"/>
      <c r="G29" s="87"/>
      <c r="H29" s="144"/>
      <c r="I29" s="144"/>
      <c r="J29" s="144"/>
      <c r="K29" s="144"/>
      <c r="L29" s="144" t="s">
        <v>16</v>
      </c>
      <c r="M29" s="87">
        <f t="shared" ref="M29:M32" si="2">IF(H29="V",$D29*H$15,IF(I29="V",$D29*I$15,IF(J29="V",$D29*J$15,IF(K29="V",$D29*K$15,IF(L29="V",$D29*L$15,0)))))*100</f>
        <v>15</v>
      </c>
      <c r="N29" s="145"/>
    </row>
    <row r="30" spans="1:14" x14ac:dyDescent="0.4">
      <c r="A30" s="141" t="s">
        <v>110</v>
      </c>
      <c r="B30" s="146" t="s">
        <v>6</v>
      </c>
      <c r="C30" s="143" t="str">
        <f>VLOOKUP($A30,[1]PERTANYAAN!$A$18:$E$71,3,0)</f>
        <v>Flow Administrasi Logistik</v>
      </c>
      <c r="D30" s="85">
        <f>VLOOKUP($A30,[1]PERTANYAAN!$A$18:$E$71,5,0)</f>
        <v>0.1</v>
      </c>
      <c r="E30" s="86"/>
      <c r="F30" s="87"/>
      <c r="G30" s="87"/>
      <c r="H30" s="144"/>
      <c r="I30" s="144"/>
      <c r="J30" s="144"/>
      <c r="K30" s="144" t="s">
        <v>16</v>
      </c>
      <c r="L30" s="144"/>
      <c r="M30" s="87">
        <f t="shared" si="2"/>
        <v>8.0000000000000018</v>
      </c>
      <c r="N30" s="145"/>
    </row>
    <row r="31" spans="1:14" x14ac:dyDescent="0.4">
      <c r="A31" s="141" t="s">
        <v>111</v>
      </c>
      <c r="B31" s="146" t="s">
        <v>6</v>
      </c>
      <c r="C31" s="143" t="str">
        <f>VLOOKUP($A31,[1]PERTANYAAN!$A$18:$E$71,3,0)</f>
        <v>Pengetahuan terkait logistik</v>
      </c>
      <c r="D31" s="85">
        <f>VLOOKUP($A31,[1]PERTANYAAN!$A$18:$E$71,5,0)</f>
        <v>2.5000000000000001E-2</v>
      </c>
      <c r="E31" s="86"/>
      <c r="F31" s="87"/>
      <c r="G31" s="87"/>
      <c r="H31" s="144"/>
      <c r="I31" s="144"/>
      <c r="J31" s="144"/>
      <c r="K31" s="144" t="s">
        <v>16</v>
      </c>
      <c r="L31" s="144"/>
      <c r="M31" s="87">
        <f t="shared" si="2"/>
        <v>2.0000000000000004</v>
      </c>
      <c r="N31" s="145"/>
    </row>
    <row r="32" spans="1:14" x14ac:dyDescent="0.4">
      <c r="A32" s="141" t="s">
        <v>112</v>
      </c>
      <c r="B32" s="146" t="s">
        <v>6</v>
      </c>
      <c r="C32" s="143" t="str">
        <f>VLOOKUP($A32,[1]PERTANYAAN!$A$18:$E$71,3,0)</f>
        <v>Pengalaman di Bongkar Muat</v>
      </c>
      <c r="D32" s="85">
        <f>VLOOKUP($A32,[1]PERTANYAAN!$A$18:$E$71,5,0)</f>
        <v>7.4999999999999997E-2</v>
      </c>
      <c r="E32" s="86"/>
      <c r="F32" s="87"/>
      <c r="G32" s="87"/>
      <c r="H32" s="144"/>
      <c r="I32" s="144"/>
      <c r="J32" s="144"/>
      <c r="K32" s="144"/>
      <c r="L32" s="144" t="s">
        <v>16</v>
      </c>
      <c r="M32" s="87">
        <f t="shared" si="2"/>
        <v>7.5</v>
      </c>
      <c r="N32" s="145"/>
    </row>
    <row r="33" spans="1:14" x14ac:dyDescent="0.4">
      <c r="A33" s="111"/>
      <c r="B33" s="142"/>
      <c r="C33" s="145"/>
      <c r="D33" s="86"/>
      <c r="E33" s="86"/>
      <c r="F33" s="87"/>
      <c r="G33" s="87"/>
      <c r="H33" s="144"/>
      <c r="I33" s="144"/>
      <c r="J33" s="144"/>
      <c r="K33" s="144"/>
      <c r="L33" s="144"/>
      <c r="M33" s="87"/>
      <c r="N33" s="145"/>
    </row>
    <row r="34" spans="1:14" hidden="1" outlineLevel="1" x14ac:dyDescent="0.4">
      <c r="A34" s="111"/>
      <c r="B34" s="142">
        <f>B28+1</f>
        <v>2</v>
      </c>
      <c r="C34" s="145" t="s">
        <v>22</v>
      </c>
      <c r="D34" s="86">
        <f>SUM(D35:D37)</f>
        <v>0.35</v>
      </c>
      <c r="E34" s="86"/>
      <c r="F34" s="87"/>
      <c r="G34" s="87"/>
      <c r="H34" s="144"/>
      <c r="I34" s="144"/>
      <c r="J34" s="144"/>
      <c r="K34" s="144"/>
      <c r="L34" s="144"/>
      <c r="M34" s="87"/>
      <c r="N34" s="145"/>
    </row>
    <row r="35" spans="1:14" hidden="1" outlineLevel="1" x14ac:dyDescent="0.4">
      <c r="A35" s="111"/>
      <c r="B35" s="146" t="s">
        <v>6</v>
      </c>
      <c r="C35" s="145" t="s">
        <v>44</v>
      </c>
      <c r="D35" s="86">
        <v>0.15</v>
      </c>
      <c r="E35" s="86"/>
      <c r="F35" s="87"/>
      <c r="G35" s="87"/>
      <c r="H35" s="144"/>
      <c r="I35" s="144"/>
      <c r="J35" s="144"/>
      <c r="K35" s="144"/>
      <c r="L35" s="144"/>
      <c r="M35" s="87"/>
      <c r="N35" s="145"/>
    </row>
    <row r="36" spans="1:14" hidden="1" outlineLevel="1" x14ac:dyDescent="0.4">
      <c r="A36" s="111"/>
      <c r="B36" s="146" t="s">
        <v>6</v>
      </c>
      <c r="C36" s="145" t="s">
        <v>50</v>
      </c>
      <c r="D36" s="86">
        <v>0.2</v>
      </c>
      <c r="E36" s="86"/>
      <c r="F36" s="87"/>
      <c r="G36" s="87"/>
      <c r="H36" s="144"/>
      <c r="I36" s="144"/>
      <c r="J36" s="144"/>
      <c r="K36" s="144"/>
      <c r="L36" s="144"/>
      <c r="M36" s="87"/>
      <c r="N36" s="145"/>
    </row>
    <row r="37" spans="1:14" hidden="1" outlineLevel="1" x14ac:dyDescent="0.4">
      <c r="A37" s="111"/>
      <c r="B37" s="142"/>
      <c r="C37" s="145"/>
      <c r="D37" s="86"/>
      <c r="E37" s="86"/>
      <c r="F37" s="87"/>
      <c r="G37" s="87"/>
      <c r="H37" s="144"/>
      <c r="I37" s="144"/>
      <c r="J37" s="144"/>
      <c r="K37" s="144"/>
      <c r="L37" s="144"/>
      <c r="M37" s="87"/>
      <c r="N37" s="145"/>
    </row>
    <row r="38" spans="1:14" hidden="1" outlineLevel="1" x14ac:dyDescent="0.4">
      <c r="A38" s="111"/>
      <c r="B38" s="142">
        <v>3</v>
      </c>
      <c r="C38" s="145" t="s">
        <v>23</v>
      </c>
      <c r="D38" s="86"/>
      <c r="E38" s="86"/>
      <c r="F38" s="87"/>
      <c r="G38" s="87"/>
      <c r="H38" s="144"/>
      <c r="I38" s="144"/>
      <c r="J38" s="144"/>
      <c r="K38" s="144"/>
      <c r="L38" s="144"/>
      <c r="M38" s="87"/>
      <c r="N38" s="145"/>
    </row>
    <row r="39" spans="1:14" hidden="1" outlineLevel="1" x14ac:dyDescent="0.4">
      <c r="A39" s="111"/>
      <c r="B39" s="146" t="s">
        <v>6</v>
      </c>
      <c r="C39" s="145" t="s">
        <v>52</v>
      </c>
      <c r="D39" s="86"/>
      <c r="E39" s="86"/>
      <c r="F39" s="87"/>
      <c r="G39" s="87"/>
      <c r="H39" s="144"/>
      <c r="I39" s="144"/>
      <c r="J39" s="144"/>
      <c r="K39" s="144"/>
      <c r="L39" s="144"/>
      <c r="M39" s="87"/>
      <c r="N39" s="145"/>
    </row>
    <row r="40" spans="1:14" hidden="1" outlineLevel="1" x14ac:dyDescent="0.4">
      <c r="A40" s="111"/>
      <c r="B40" s="146" t="s">
        <v>6</v>
      </c>
      <c r="C40" s="145" t="s">
        <v>53</v>
      </c>
      <c r="D40" s="86"/>
      <c r="E40" s="86"/>
      <c r="F40" s="87"/>
      <c r="G40" s="87"/>
      <c r="H40" s="144"/>
      <c r="I40" s="144"/>
      <c r="J40" s="144"/>
      <c r="K40" s="144"/>
      <c r="L40" s="144"/>
      <c r="M40" s="87"/>
      <c r="N40" s="145"/>
    </row>
    <row r="41" spans="1:14" hidden="1" outlineLevel="1" x14ac:dyDescent="0.4">
      <c r="A41" s="111"/>
      <c r="B41" s="146" t="s">
        <v>6</v>
      </c>
      <c r="C41" s="145"/>
      <c r="D41" s="86"/>
      <c r="E41" s="86"/>
      <c r="F41" s="87"/>
      <c r="G41" s="87"/>
      <c r="H41" s="144"/>
      <c r="I41" s="144"/>
      <c r="J41" s="144"/>
      <c r="K41" s="144"/>
      <c r="L41" s="144"/>
      <c r="M41" s="87"/>
      <c r="N41" s="145"/>
    </row>
    <row r="42" spans="1:14" hidden="1" outlineLevel="1" x14ac:dyDescent="0.4">
      <c r="A42" s="111"/>
      <c r="B42" s="142"/>
      <c r="C42" s="145"/>
      <c r="D42" s="86"/>
      <c r="E42" s="86"/>
      <c r="F42" s="87"/>
      <c r="G42" s="87"/>
      <c r="H42" s="144"/>
      <c r="I42" s="144"/>
      <c r="J42" s="144"/>
      <c r="K42" s="144"/>
      <c r="L42" s="144"/>
      <c r="M42" s="87"/>
      <c r="N42" s="145"/>
    </row>
    <row r="43" spans="1:14" s="110" customFormat="1" collapsed="1" x14ac:dyDescent="0.4">
      <c r="A43" s="129"/>
      <c r="B43" s="135" t="s">
        <v>98</v>
      </c>
      <c r="C43" s="136" t="s">
        <v>24</v>
      </c>
      <c r="D43" s="137">
        <f>D44</f>
        <v>0.25</v>
      </c>
      <c r="E43" s="137"/>
      <c r="F43" s="138"/>
      <c r="G43" s="138"/>
      <c r="H43" s="147"/>
      <c r="I43" s="147"/>
      <c r="J43" s="147"/>
      <c r="K43" s="147"/>
      <c r="L43" s="147"/>
      <c r="M43" s="138">
        <f>M44</f>
        <v>19.000000000000004</v>
      </c>
      <c r="N43" s="136"/>
    </row>
    <row r="44" spans="1:14" x14ac:dyDescent="0.4">
      <c r="A44" s="111" t="s">
        <v>113</v>
      </c>
      <c r="B44" s="142">
        <v>1</v>
      </c>
      <c r="C44" s="143" t="str">
        <f>VLOOKUP($A44,[1]PERTANYAAN!$A$18:$E$71,3,0)</f>
        <v>Staff</v>
      </c>
      <c r="D44" s="85">
        <f>VLOOKUP($A44,[1]PERTANYAAN!$A$18:$E$71,5,0)</f>
        <v>0.25</v>
      </c>
      <c r="E44" s="86"/>
      <c r="F44" s="87"/>
      <c r="G44" s="87"/>
      <c r="H44" s="144"/>
      <c r="I44" s="144"/>
      <c r="J44" s="144"/>
      <c r="K44" s="144"/>
      <c r="L44" s="144"/>
      <c r="M44" s="87">
        <f>SUM(M45:M48)</f>
        <v>19.000000000000004</v>
      </c>
      <c r="N44" s="145"/>
    </row>
    <row r="45" spans="1:14" x14ac:dyDescent="0.4">
      <c r="A45" s="141" t="s">
        <v>114</v>
      </c>
      <c r="B45" s="146" t="s">
        <v>6</v>
      </c>
      <c r="C45" s="143" t="str">
        <f>VLOOKUP($A45,[1]PERTANYAAN!$A$18:$E$71,3,0)</f>
        <v>Kepemimpinan</v>
      </c>
      <c r="D45" s="85">
        <f>VLOOKUP($A45,[1]PERTANYAAN!$A$18:$E$71,5,0)</f>
        <v>2.5000000000000001E-2</v>
      </c>
      <c r="E45" s="86"/>
      <c r="F45" s="87"/>
      <c r="G45" s="87"/>
      <c r="H45" s="144"/>
      <c r="I45" s="144" t="s">
        <v>16</v>
      </c>
      <c r="J45" s="144"/>
      <c r="K45" s="144"/>
      <c r="L45" s="144"/>
      <c r="M45" s="87">
        <f t="shared" ref="M45:M48" si="3">IF(H45="V",$D45*H$15,IF(I45="V",$D45*I$15,IF(J45="V",$D45*J$15,IF(K45="V",$D45*K$15,IF(L45="V",$D45*L$15,0)))))*100</f>
        <v>1.0000000000000002</v>
      </c>
      <c r="N45" s="145"/>
    </row>
    <row r="46" spans="1:14" x14ac:dyDescent="0.4">
      <c r="A46" s="141" t="s">
        <v>115</v>
      </c>
      <c r="B46" s="146" t="s">
        <v>6</v>
      </c>
      <c r="C46" s="143" t="str">
        <f>VLOOKUP($A46,[1]PERTANYAAN!$A$18:$E$71,3,0)</f>
        <v>Komunikasi</v>
      </c>
      <c r="D46" s="85">
        <f>VLOOKUP($A46,[1]PERTANYAAN!$A$18:$E$71,5,0)</f>
        <v>0.1</v>
      </c>
      <c r="E46" s="86"/>
      <c r="F46" s="87"/>
      <c r="G46" s="87"/>
      <c r="H46" s="144"/>
      <c r="I46" s="144"/>
      <c r="J46" s="144"/>
      <c r="K46" s="144" t="s">
        <v>16</v>
      </c>
      <c r="L46" s="144"/>
      <c r="M46" s="87">
        <f t="shared" si="3"/>
        <v>8.0000000000000018</v>
      </c>
      <c r="N46" s="145"/>
    </row>
    <row r="47" spans="1:14" x14ac:dyDescent="0.4">
      <c r="A47" s="141" t="s">
        <v>116</v>
      </c>
      <c r="B47" s="146" t="s">
        <v>6</v>
      </c>
      <c r="C47" s="143" t="str">
        <f>VLOOKUP($A47,[1]PERTANYAAN!$A$18:$E$71,3,0)</f>
        <v>Patuh pada Peraturan / Commitment</v>
      </c>
      <c r="D47" s="85">
        <f>VLOOKUP($A47,[1]PERTANYAAN!$A$18:$E$71,5,0)</f>
        <v>0.05</v>
      </c>
      <c r="E47" s="86"/>
      <c r="F47" s="87"/>
      <c r="G47" s="87"/>
      <c r="H47" s="144"/>
      <c r="I47" s="144"/>
      <c r="J47" s="144"/>
      <c r="K47" s="144" t="s">
        <v>16</v>
      </c>
      <c r="L47" s="144"/>
      <c r="M47" s="87">
        <f t="shared" si="3"/>
        <v>4.0000000000000009</v>
      </c>
      <c r="N47" s="145"/>
    </row>
    <row r="48" spans="1:14" x14ac:dyDescent="0.4">
      <c r="A48" s="141" t="s">
        <v>117</v>
      </c>
      <c r="B48" s="146" t="s">
        <v>6</v>
      </c>
      <c r="C48" s="143" t="str">
        <f>VLOOKUP($A48,[1]PERTANYAAN!$A$18:$E$71,3,0)</f>
        <v>Determinasi thd tekanan</v>
      </c>
      <c r="D48" s="85">
        <f>VLOOKUP($A48,[1]PERTANYAAN!$A$18:$E$71,5,0)</f>
        <v>7.4999999999999997E-2</v>
      </c>
      <c r="E48" s="86"/>
      <c r="F48" s="87"/>
      <c r="G48" s="87"/>
      <c r="H48" s="144"/>
      <c r="I48" s="144"/>
      <c r="J48" s="144"/>
      <c r="K48" s="144" t="s">
        <v>16</v>
      </c>
      <c r="L48" s="144"/>
      <c r="M48" s="87">
        <f t="shared" si="3"/>
        <v>6</v>
      </c>
      <c r="N48" s="145"/>
    </row>
    <row r="49" spans="1:14" x14ac:dyDescent="0.4">
      <c r="A49" s="111"/>
      <c r="B49" s="142"/>
      <c r="C49" s="145"/>
      <c r="D49" s="86"/>
      <c r="E49" s="86"/>
      <c r="F49" s="87"/>
      <c r="G49" s="87"/>
      <c r="H49" s="144"/>
      <c r="I49" s="144"/>
      <c r="J49" s="144"/>
      <c r="K49" s="144"/>
      <c r="L49" s="144"/>
      <c r="M49" s="87"/>
      <c r="N49" s="145"/>
    </row>
    <row r="50" spans="1:14" hidden="1" outlineLevel="1" x14ac:dyDescent="0.4">
      <c r="A50" s="111"/>
      <c r="B50" s="142">
        <v>2</v>
      </c>
      <c r="C50" s="145" t="s">
        <v>26</v>
      </c>
      <c r="D50" s="86"/>
      <c r="E50" s="86"/>
      <c r="F50" s="87"/>
      <c r="G50" s="87"/>
      <c r="H50" s="144"/>
      <c r="I50" s="144"/>
      <c r="J50" s="144"/>
      <c r="K50" s="144"/>
      <c r="L50" s="144"/>
      <c r="M50" s="87"/>
      <c r="N50" s="145"/>
    </row>
    <row r="51" spans="1:14" hidden="1" outlineLevel="1" x14ac:dyDescent="0.4">
      <c r="A51" s="111"/>
      <c r="B51" s="146" t="s">
        <v>6</v>
      </c>
      <c r="C51" s="145" t="s">
        <v>54</v>
      </c>
      <c r="D51" s="86"/>
      <c r="E51" s="86"/>
      <c r="F51" s="87"/>
      <c r="G51" s="87"/>
      <c r="H51" s="144"/>
      <c r="I51" s="144"/>
      <c r="J51" s="144"/>
      <c r="K51" s="144"/>
      <c r="L51" s="144"/>
      <c r="M51" s="87"/>
      <c r="N51" s="145"/>
    </row>
    <row r="52" spans="1:14" hidden="1" outlineLevel="1" x14ac:dyDescent="0.4">
      <c r="A52" s="111"/>
      <c r="B52" s="146" t="s">
        <v>6</v>
      </c>
      <c r="C52" s="145" t="s">
        <v>55</v>
      </c>
      <c r="D52" s="86"/>
      <c r="E52" s="86"/>
      <c r="F52" s="87"/>
      <c r="G52" s="87"/>
      <c r="H52" s="144"/>
      <c r="I52" s="144"/>
      <c r="J52" s="144"/>
      <c r="K52" s="144"/>
      <c r="L52" s="144"/>
      <c r="M52" s="87"/>
      <c r="N52" s="145"/>
    </row>
    <row r="53" spans="1:14" hidden="1" outlineLevel="1" x14ac:dyDescent="0.4">
      <c r="A53" s="111"/>
      <c r="B53" s="146" t="s">
        <v>6</v>
      </c>
      <c r="C53" s="145" t="s">
        <v>56</v>
      </c>
      <c r="D53" s="86"/>
      <c r="E53" s="86"/>
      <c r="F53" s="87"/>
      <c r="G53" s="87"/>
      <c r="H53" s="144"/>
      <c r="I53" s="144"/>
      <c r="J53" s="144"/>
      <c r="K53" s="144"/>
      <c r="L53" s="144"/>
      <c r="M53" s="87"/>
      <c r="N53" s="145"/>
    </row>
    <row r="54" spans="1:14" hidden="1" outlineLevel="1" x14ac:dyDescent="0.4">
      <c r="A54" s="111"/>
      <c r="B54" s="142"/>
      <c r="C54" s="145"/>
      <c r="D54" s="86"/>
      <c r="E54" s="86"/>
      <c r="F54" s="87"/>
      <c r="G54" s="87"/>
      <c r="H54" s="144"/>
      <c r="I54" s="144"/>
      <c r="J54" s="144"/>
      <c r="K54" s="144"/>
      <c r="L54" s="144"/>
      <c r="M54" s="87"/>
      <c r="N54" s="145"/>
    </row>
    <row r="55" spans="1:14" hidden="1" outlineLevel="1" x14ac:dyDescent="0.4">
      <c r="A55" s="111"/>
      <c r="B55" s="142">
        <v>3</v>
      </c>
      <c r="C55" s="145" t="s">
        <v>27</v>
      </c>
      <c r="D55" s="86"/>
      <c r="E55" s="86"/>
      <c r="F55" s="87"/>
      <c r="G55" s="87"/>
      <c r="H55" s="144"/>
      <c r="I55" s="144"/>
      <c r="J55" s="144"/>
      <c r="K55" s="144"/>
      <c r="L55" s="144"/>
      <c r="M55" s="87"/>
      <c r="N55" s="145"/>
    </row>
    <row r="56" spans="1:14" hidden="1" outlineLevel="1" x14ac:dyDescent="0.4">
      <c r="A56" s="111"/>
      <c r="B56" s="146" t="s">
        <v>6</v>
      </c>
      <c r="C56" s="145" t="s">
        <v>54</v>
      </c>
      <c r="D56" s="86"/>
      <c r="E56" s="86"/>
      <c r="F56" s="87"/>
      <c r="G56" s="87"/>
      <c r="H56" s="144"/>
      <c r="I56" s="144"/>
      <c r="J56" s="144"/>
      <c r="K56" s="144"/>
      <c r="L56" s="144"/>
      <c r="M56" s="87"/>
      <c r="N56" s="145"/>
    </row>
    <row r="57" spans="1:14" hidden="1" outlineLevel="1" x14ac:dyDescent="0.4">
      <c r="A57" s="111"/>
      <c r="B57" s="146" t="s">
        <v>6</v>
      </c>
      <c r="C57" s="145" t="s">
        <v>56</v>
      </c>
      <c r="D57" s="86"/>
      <c r="E57" s="86"/>
      <c r="F57" s="87"/>
      <c r="G57" s="87"/>
      <c r="H57" s="144"/>
      <c r="I57" s="144"/>
      <c r="J57" s="144"/>
      <c r="K57" s="144"/>
      <c r="L57" s="144"/>
      <c r="M57" s="87"/>
      <c r="N57" s="145"/>
    </row>
    <row r="58" spans="1:14" hidden="1" outlineLevel="1" x14ac:dyDescent="0.4">
      <c r="A58" s="111"/>
      <c r="B58" s="146" t="s">
        <v>6</v>
      </c>
      <c r="C58" s="145" t="s">
        <v>57</v>
      </c>
      <c r="D58" s="86"/>
      <c r="E58" s="86"/>
      <c r="F58" s="87"/>
      <c r="G58" s="87"/>
      <c r="H58" s="144"/>
      <c r="I58" s="144"/>
      <c r="J58" s="144"/>
      <c r="K58" s="144"/>
      <c r="L58" s="144"/>
      <c r="M58" s="87"/>
      <c r="N58" s="145"/>
    </row>
    <row r="59" spans="1:14" hidden="1" outlineLevel="1" x14ac:dyDescent="0.4">
      <c r="A59" s="111"/>
      <c r="B59" s="142"/>
      <c r="C59" s="145"/>
      <c r="D59" s="86"/>
      <c r="E59" s="86"/>
      <c r="F59" s="87"/>
      <c r="G59" s="87"/>
      <c r="H59" s="144"/>
      <c r="I59" s="144"/>
      <c r="J59" s="144"/>
      <c r="K59" s="144"/>
      <c r="L59" s="144"/>
      <c r="M59" s="87"/>
      <c r="N59" s="145"/>
    </row>
    <row r="60" spans="1:14" s="110" customFormat="1" collapsed="1" x14ac:dyDescent="0.4">
      <c r="A60" s="129"/>
      <c r="B60" s="135" t="s">
        <v>99</v>
      </c>
      <c r="C60" s="136" t="s">
        <v>46</v>
      </c>
      <c r="D60" s="137">
        <f>SUM(D61:D64)</f>
        <v>0.15</v>
      </c>
      <c r="E60" s="137"/>
      <c r="F60" s="138"/>
      <c r="G60" s="138"/>
      <c r="H60" s="147"/>
      <c r="I60" s="147"/>
      <c r="J60" s="147"/>
      <c r="K60" s="147"/>
      <c r="L60" s="147"/>
      <c r="M60" s="138">
        <f>SUM(M61:M64)</f>
        <v>13.5</v>
      </c>
      <c r="N60" s="136"/>
    </row>
    <row r="61" spans="1:14" x14ac:dyDescent="0.4">
      <c r="A61" s="141" t="s">
        <v>118</v>
      </c>
      <c r="B61" s="146" t="s">
        <v>6</v>
      </c>
      <c r="C61" s="143" t="str">
        <f>VLOOKUP($A61,[1]PERTANYAAN!$A$18:$E$71,3,0)</f>
        <v>Antusiasme / Keinginan bergabung</v>
      </c>
      <c r="D61" s="85">
        <f>VLOOKUP($A61,[1]PERTANYAAN!$A$18:$E$71,5,0)</f>
        <v>7.4999999999999997E-2</v>
      </c>
      <c r="E61" s="86"/>
      <c r="F61" s="87"/>
      <c r="G61" s="87"/>
      <c r="H61" s="144"/>
      <c r="I61" s="144"/>
      <c r="J61" s="144"/>
      <c r="K61" s="144"/>
      <c r="L61" s="144" t="s">
        <v>16</v>
      </c>
      <c r="M61" s="87">
        <f t="shared" ref="M61:M63" si="4">IF(H61="V",$D61*H$15,IF(I61="V",$D61*I$15,IF(J61="V",$D61*J$15,IF(K61="V",$D61*K$15,IF(L61="V",$D61*L$15,0)))))*100</f>
        <v>7.5</v>
      </c>
      <c r="N61" s="145"/>
    </row>
    <row r="62" spans="1:14" x14ac:dyDescent="0.4">
      <c r="A62" s="141" t="s">
        <v>119</v>
      </c>
      <c r="B62" s="146" t="s">
        <v>6</v>
      </c>
      <c r="C62" s="143" t="str">
        <f>VLOOKUP($A62,[1]PERTANYAAN!$A$18:$E$71,3,0)</f>
        <v>Inisiatif</v>
      </c>
      <c r="D62" s="85">
        <f>VLOOKUP($A62,[1]PERTANYAAN!$A$18:$E$71,5,0)</f>
        <v>0.05</v>
      </c>
      <c r="E62" s="86"/>
      <c r="F62" s="87"/>
      <c r="G62" s="87"/>
      <c r="H62" s="144"/>
      <c r="I62" s="144"/>
      <c r="J62" s="144"/>
      <c r="K62" s="144" t="s">
        <v>16</v>
      </c>
      <c r="L62" s="144"/>
      <c r="M62" s="87">
        <f t="shared" si="4"/>
        <v>4.0000000000000009</v>
      </c>
      <c r="N62" s="145"/>
    </row>
    <row r="63" spans="1:14" x14ac:dyDescent="0.4">
      <c r="A63" s="141" t="s">
        <v>120</v>
      </c>
      <c r="B63" s="146" t="s">
        <v>6</v>
      </c>
      <c r="C63" s="143" t="str">
        <f>VLOOKUP($A63,[1]PERTANYAAN!$A$18:$E$71,3,0)</f>
        <v>Adaptif</v>
      </c>
      <c r="D63" s="85">
        <f>VLOOKUP($A63,[1]PERTANYAAN!$A$18:$E$71,5,0)</f>
        <v>2.5000000000000001E-2</v>
      </c>
      <c r="E63" s="86"/>
      <c r="F63" s="87"/>
      <c r="G63" s="87"/>
      <c r="H63" s="144"/>
      <c r="I63" s="144"/>
      <c r="J63" s="144"/>
      <c r="K63" s="144" t="s">
        <v>16</v>
      </c>
      <c r="L63" s="144"/>
      <c r="M63" s="87">
        <f t="shared" si="4"/>
        <v>2.0000000000000004</v>
      </c>
      <c r="N63" s="145"/>
    </row>
    <row r="64" spans="1:14" x14ac:dyDescent="0.4">
      <c r="A64" s="111"/>
      <c r="B64" s="142"/>
      <c r="C64" s="145"/>
      <c r="D64" s="86"/>
      <c r="E64" s="86"/>
      <c r="F64" s="87"/>
      <c r="G64" s="87"/>
      <c r="H64" s="144"/>
      <c r="I64" s="144"/>
      <c r="J64" s="144"/>
      <c r="K64" s="144"/>
      <c r="L64" s="144"/>
      <c r="M64" s="87"/>
      <c r="N64" s="145"/>
    </row>
    <row r="65" spans="1:14" s="110" customFormat="1" x14ac:dyDescent="0.4">
      <c r="A65" s="129"/>
      <c r="B65" s="135" t="s">
        <v>100</v>
      </c>
      <c r="C65" s="136" t="s">
        <v>48</v>
      </c>
      <c r="D65" s="137">
        <f>SUM(D66:D68)</f>
        <v>0.05</v>
      </c>
      <c r="E65" s="137"/>
      <c r="F65" s="138"/>
      <c r="G65" s="138"/>
      <c r="H65" s="147"/>
      <c r="I65" s="147"/>
      <c r="J65" s="147"/>
      <c r="K65" s="147"/>
      <c r="L65" s="147"/>
      <c r="M65" s="138">
        <f>SUM(M66:M68)</f>
        <v>1.6</v>
      </c>
      <c r="N65" s="136"/>
    </row>
    <row r="66" spans="1:14" x14ac:dyDescent="0.4">
      <c r="A66" s="141" t="s">
        <v>121</v>
      </c>
      <c r="B66" s="146" t="s">
        <v>6</v>
      </c>
      <c r="C66" s="143" t="str">
        <f>VLOOKUP($A66,[1]PERTANYAAN!$A$18:$E$71,3,0)</f>
        <v>Ekspektasi Salary (Mengukur Budget &amp; Skill)</v>
      </c>
      <c r="D66" s="85">
        <f>VLOOKUP($A66,[1]PERTANYAAN!$A$18:$E$71,5,0)</f>
        <v>0.04</v>
      </c>
      <c r="E66" s="86"/>
      <c r="F66" s="87"/>
      <c r="G66" s="87"/>
      <c r="H66" s="144"/>
      <c r="I66" s="144" t="s">
        <v>16</v>
      </c>
      <c r="J66" s="144"/>
      <c r="K66" s="144"/>
      <c r="L66" s="144"/>
      <c r="M66" s="87">
        <f t="shared" ref="M66:M70" si="5">IF(H66="V",$D66*H$15,IF(I66="V",$D66*I$15,IF(J66="V",$D66*J$15,IF(K66="V",$D66*K$15,IF(L66="V",$D66*L$15,0)))))*100</f>
        <v>1.6</v>
      </c>
      <c r="N66" s="145" t="s">
        <v>164</v>
      </c>
    </row>
    <row r="67" spans="1:14" x14ac:dyDescent="0.4">
      <c r="A67" s="141" t="s">
        <v>122</v>
      </c>
      <c r="B67" s="146" t="s">
        <v>6</v>
      </c>
      <c r="C67" s="143" t="str">
        <f>VLOOKUP($A67,[1]PERTANYAAN!$A$18:$E$71,3,0)</f>
        <v>Tujuan Karir</v>
      </c>
      <c r="D67" s="85">
        <f>VLOOKUP($A67,[1]PERTANYAAN!$A$18:$E$71,5,0)</f>
        <v>0.01</v>
      </c>
      <c r="E67" s="86"/>
      <c r="F67" s="87"/>
      <c r="G67" s="87"/>
      <c r="H67" s="144"/>
      <c r="I67" s="144"/>
      <c r="J67" s="144"/>
      <c r="K67" s="144"/>
      <c r="L67" s="144"/>
      <c r="M67" s="87">
        <f t="shared" si="5"/>
        <v>0</v>
      </c>
      <c r="N67" s="145"/>
    </row>
    <row r="68" spans="1:14" x14ac:dyDescent="0.4">
      <c r="A68" s="141"/>
      <c r="B68" s="142"/>
      <c r="C68" s="145"/>
      <c r="D68" s="86"/>
      <c r="E68" s="86"/>
      <c r="F68" s="87"/>
      <c r="G68" s="87"/>
      <c r="H68" s="144"/>
      <c r="I68" s="144"/>
      <c r="J68" s="144"/>
      <c r="K68" s="144"/>
      <c r="L68" s="144"/>
      <c r="M68" s="87"/>
      <c r="N68" s="145"/>
    </row>
    <row r="69" spans="1:14" s="110" customFormat="1" x14ac:dyDescent="0.4">
      <c r="A69" s="129"/>
      <c r="B69" s="135" t="s">
        <v>101</v>
      </c>
      <c r="C69" s="136" t="s">
        <v>134</v>
      </c>
      <c r="D69" s="137">
        <f>SUM(D70:D70)</f>
        <v>0.05</v>
      </c>
      <c r="E69" s="137"/>
      <c r="F69" s="138"/>
      <c r="G69" s="138"/>
      <c r="H69" s="147"/>
      <c r="I69" s="147"/>
      <c r="J69" s="147"/>
      <c r="K69" s="147"/>
      <c r="L69" s="147"/>
      <c r="M69" s="138">
        <f>SUM(M70)</f>
        <v>4.0000000000000009</v>
      </c>
      <c r="N69" s="136"/>
    </row>
    <row r="70" spans="1:14" x14ac:dyDescent="0.4">
      <c r="A70" s="141" t="s">
        <v>123</v>
      </c>
      <c r="B70" s="146" t="s">
        <v>6</v>
      </c>
      <c r="C70" s="143" t="str">
        <f>VLOOKUP($A70,[1]PERTANYAAN!$A$18:$E$71,3,0)</f>
        <v>Pertanyaan Spesifik User</v>
      </c>
      <c r="D70" s="85">
        <f>VLOOKUP($A70,[1]PERTANYAAN!$A$18:$E$71,5,0)</f>
        <v>0.05</v>
      </c>
      <c r="E70" s="86"/>
      <c r="F70" s="87"/>
      <c r="G70" s="87"/>
      <c r="H70" s="144"/>
      <c r="I70" s="144"/>
      <c r="J70" s="144"/>
      <c r="K70" s="144" t="s">
        <v>16</v>
      </c>
      <c r="L70" s="144"/>
      <c r="M70" s="87">
        <f t="shared" si="5"/>
        <v>4.0000000000000009</v>
      </c>
      <c r="N70" s="145"/>
    </row>
    <row r="71" spans="1:14" x14ac:dyDescent="0.4">
      <c r="B71" s="148"/>
      <c r="C71" s="149"/>
      <c r="D71" s="90"/>
      <c r="E71" s="90"/>
      <c r="F71" s="91"/>
      <c r="G71" s="91"/>
      <c r="H71" s="150"/>
      <c r="I71" s="150"/>
      <c r="J71" s="150"/>
      <c r="K71" s="150"/>
      <c r="L71" s="150"/>
      <c r="M71" s="91"/>
      <c r="N71" s="149"/>
    </row>
    <row r="73" spans="1:14" x14ac:dyDescent="0.4">
      <c r="H73" s="151" t="s">
        <v>61</v>
      </c>
    </row>
    <row r="74" spans="1:14" x14ac:dyDescent="0.4">
      <c r="H74" s="113" t="s">
        <v>39</v>
      </c>
      <c r="I74" s="113" t="s">
        <v>29</v>
      </c>
      <c r="J74" s="152" t="s">
        <v>69</v>
      </c>
    </row>
    <row r="75" spans="1:14" x14ac:dyDescent="0.4">
      <c r="H75" s="113" t="s">
        <v>40</v>
      </c>
      <c r="I75" s="113" t="s">
        <v>29</v>
      </c>
      <c r="J75" s="152" t="s">
        <v>70</v>
      </c>
    </row>
    <row r="76" spans="1:14" x14ac:dyDescent="0.4">
      <c r="H76" s="113" t="s">
        <v>41</v>
      </c>
      <c r="I76" s="113" t="s">
        <v>29</v>
      </c>
      <c r="J76" s="152" t="s">
        <v>71</v>
      </c>
    </row>
    <row r="77" spans="1:14" x14ac:dyDescent="0.4">
      <c r="H77" s="113" t="s">
        <v>42</v>
      </c>
      <c r="I77" s="113" t="s">
        <v>29</v>
      </c>
      <c r="J77" s="152" t="s">
        <v>72</v>
      </c>
    </row>
    <row r="78" spans="1:14" x14ac:dyDescent="0.4">
      <c r="H78" s="113" t="s">
        <v>43</v>
      </c>
      <c r="I78" s="113" t="s">
        <v>29</v>
      </c>
      <c r="J78" s="152" t="s">
        <v>73</v>
      </c>
    </row>
  </sheetData>
  <mergeCells count="8"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C90A-269D-4FFB-A079-66AB8E3CF69D}">
  <sheetPr>
    <tabColor rgb="FF92D050"/>
  </sheetPr>
  <dimension ref="A1:N78"/>
  <sheetViews>
    <sheetView zoomScaleNormal="100" workbookViewId="0">
      <pane xSplit="1" ySplit="14" topLeftCell="B15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C13" sqref="C13:C14"/>
    </sheetView>
  </sheetViews>
  <sheetFormatPr defaultColWidth="9" defaultRowHeight="14.6" outlineLevelRow="1" x14ac:dyDescent="0.4"/>
  <cols>
    <col min="1" max="1" width="17.69140625" style="112" customWidth="1"/>
    <col min="2" max="2" width="4.3828125" style="111" customWidth="1"/>
    <col min="3" max="3" width="40.15234375" style="112" customWidth="1"/>
    <col min="4" max="4" width="9" style="80"/>
    <col min="5" max="5" width="1.69140625" style="80" customWidth="1"/>
    <col min="6" max="7" width="9" style="81"/>
    <col min="8" max="12" width="9" style="113"/>
    <col min="13" max="13" width="9" style="81"/>
    <col min="14" max="14" width="16.84375" style="112" customWidth="1"/>
    <col min="15" max="16384" width="9" style="112"/>
  </cols>
  <sheetData>
    <row r="1" spans="1:14" x14ac:dyDescent="0.4">
      <c r="A1" s="110" t="s">
        <v>125</v>
      </c>
    </row>
    <row r="2" spans="1:14" x14ac:dyDescent="0.4">
      <c r="A2" s="110" t="s">
        <v>0</v>
      </c>
    </row>
    <row r="5" spans="1:14" x14ac:dyDescent="0.4">
      <c r="A5" s="110" t="s">
        <v>1</v>
      </c>
      <c r="B5" s="111" t="s">
        <v>29</v>
      </c>
      <c r="C5" s="110" t="s">
        <v>158</v>
      </c>
    </row>
    <row r="6" spans="1:14" x14ac:dyDescent="0.4">
      <c r="A6" s="110" t="s">
        <v>20</v>
      </c>
      <c r="B6" s="111" t="s">
        <v>29</v>
      </c>
      <c r="C6" s="112" t="s">
        <v>31</v>
      </c>
    </row>
    <row r="7" spans="1:14" x14ac:dyDescent="0.4">
      <c r="A7" s="110" t="s">
        <v>32</v>
      </c>
      <c r="B7" s="111" t="s">
        <v>29</v>
      </c>
      <c r="C7" s="112" t="s">
        <v>33</v>
      </c>
    </row>
    <row r="8" spans="1:14" x14ac:dyDescent="0.4">
      <c r="A8" s="110" t="s">
        <v>34</v>
      </c>
      <c r="B8" s="111" t="s">
        <v>29</v>
      </c>
      <c r="C8" s="112" t="s">
        <v>35</v>
      </c>
    </row>
    <row r="9" spans="1:14" x14ac:dyDescent="0.4">
      <c r="A9" s="110" t="s">
        <v>28</v>
      </c>
      <c r="B9" s="111" t="s">
        <v>29</v>
      </c>
    </row>
    <row r="10" spans="1:14" x14ac:dyDescent="0.4">
      <c r="A10" s="110" t="s">
        <v>38</v>
      </c>
      <c r="B10" s="111" t="s">
        <v>29</v>
      </c>
      <c r="C10" s="110" t="s">
        <v>141</v>
      </c>
      <c r="D10" s="114" t="s">
        <v>92</v>
      </c>
    </row>
    <row r="11" spans="1:14" x14ac:dyDescent="0.4">
      <c r="A11" s="110" t="s">
        <v>67</v>
      </c>
      <c r="B11" s="111" t="s">
        <v>29</v>
      </c>
      <c r="C11" s="115">
        <f>M16</f>
        <v>83</v>
      </c>
    </row>
    <row r="13" spans="1:14" s="110" customFormat="1" x14ac:dyDescent="0.4">
      <c r="A13" s="116" t="s">
        <v>124</v>
      </c>
      <c r="B13" s="117" t="s">
        <v>2</v>
      </c>
      <c r="C13" s="117" t="s">
        <v>3</v>
      </c>
      <c r="D13" s="118" t="s">
        <v>19</v>
      </c>
      <c r="E13" s="119"/>
      <c r="F13" s="120" t="s">
        <v>18</v>
      </c>
      <c r="G13" s="120"/>
      <c r="H13" s="117" t="s">
        <v>37</v>
      </c>
      <c r="I13" s="117"/>
      <c r="J13" s="117"/>
      <c r="K13" s="117"/>
      <c r="L13" s="117"/>
      <c r="M13" s="120" t="s">
        <v>17</v>
      </c>
      <c r="N13" s="121" t="s">
        <v>61</v>
      </c>
    </row>
    <row r="14" spans="1:14" s="110" customFormat="1" x14ac:dyDescent="0.4">
      <c r="A14" s="116"/>
      <c r="B14" s="117"/>
      <c r="C14" s="122"/>
      <c r="D14" s="82"/>
      <c r="E14" s="83"/>
      <c r="F14" s="123" t="s">
        <v>14</v>
      </c>
      <c r="G14" s="123" t="s">
        <v>15</v>
      </c>
      <c r="H14" s="124" t="s">
        <v>39</v>
      </c>
      <c r="I14" s="124" t="s">
        <v>40</v>
      </c>
      <c r="J14" s="124" t="s">
        <v>41</v>
      </c>
      <c r="K14" s="124" t="s">
        <v>42</v>
      </c>
      <c r="L14" s="124" t="s">
        <v>43</v>
      </c>
      <c r="M14" s="120"/>
      <c r="N14" s="121"/>
    </row>
    <row r="15" spans="1:14" s="110" customFormat="1" x14ac:dyDescent="0.4">
      <c r="B15" s="125"/>
      <c r="C15" s="125"/>
      <c r="D15" s="125"/>
      <c r="E15" s="84"/>
      <c r="F15" s="126"/>
      <c r="G15" s="126"/>
      <c r="H15" s="127">
        <v>0.2</v>
      </c>
      <c r="I15" s="127">
        <v>0.4</v>
      </c>
      <c r="J15" s="127">
        <v>0.6</v>
      </c>
      <c r="K15" s="127">
        <v>0.8</v>
      </c>
      <c r="L15" s="127">
        <v>1</v>
      </c>
      <c r="M15" s="126"/>
      <c r="N15" s="128"/>
    </row>
    <row r="16" spans="1:14" s="110" customFormat="1" x14ac:dyDescent="0.4">
      <c r="A16" s="129"/>
      <c r="B16" s="130"/>
      <c r="C16" s="131" t="s">
        <v>65</v>
      </c>
      <c r="D16" s="130"/>
      <c r="E16" s="130"/>
      <c r="F16" s="132"/>
      <c r="G16" s="132"/>
      <c r="H16" s="130"/>
      <c r="I16" s="130"/>
      <c r="J16" s="130"/>
      <c r="K16" s="130"/>
      <c r="L16" s="130"/>
      <c r="M16" s="133">
        <f>M17+M21+M27+M43+M60+M65+M69</f>
        <v>83</v>
      </c>
      <c r="N16" s="134"/>
    </row>
    <row r="17" spans="1:14" x14ac:dyDescent="0.4">
      <c r="B17" s="135" t="s">
        <v>66</v>
      </c>
      <c r="C17" s="136" t="s">
        <v>8</v>
      </c>
      <c r="D17" s="137">
        <f>SUM(D18:D19)</f>
        <v>0.1</v>
      </c>
      <c r="E17" s="137"/>
      <c r="F17" s="138"/>
      <c r="G17" s="138"/>
      <c r="H17" s="139"/>
      <c r="I17" s="139"/>
      <c r="J17" s="139"/>
      <c r="K17" s="139"/>
      <c r="L17" s="139"/>
      <c r="M17" s="138">
        <f>SUM(M18:M20)</f>
        <v>6</v>
      </c>
      <c r="N17" s="140"/>
    </row>
    <row r="18" spans="1:14" x14ac:dyDescent="0.4">
      <c r="A18" s="141" t="s">
        <v>102</v>
      </c>
      <c r="B18" s="142">
        <v>1</v>
      </c>
      <c r="C18" s="143" t="str">
        <f>VLOOKUP($A18,[1]PERTANYAAN!$A$18:$E$71,3,0)</f>
        <v>Pengalaman di dalam Daniswara Group</v>
      </c>
      <c r="D18" s="85">
        <f>VLOOKUP($A18,[1]PERTANYAAN!$A$18:$E$71,5,0)</f>
        <v>0.06</v>
      </c>
      <c r="E18" s="86"/>
      <c r="F18" s="87" t="s">
        <v>16</v>
      </c>
      <c r="G18" s="87"/>
      <c r="H18" s="144"/>
      <c r="I18" s="144"/>
      <c r="J18" s="144"/>
      <c r="K18" s="144"/>
      <c r="L18" s="144"/>
      <c r="M18" s="87">
        <f>IF(F18="V",D18*100,0)</f>
        <v>6</v>
      </c>
      <c r="N18" s="145"/>
    </row>
    <row r="19" spans="1:14" x14ac:dyDescent="0.4">
      <c r="A19" s="141" t="s">
        <v>103</v>
      </c>
      <c r="B19" s="142">
        <f>B18+1</f>
        <v>2</v>
      </c>
      <c r="C19" s="143" t="str">
        <f>VLOOKUP($A19,[1]PERTANYAAN!$A$18:$E$71,3,0)</f>
        <v>Pengalaman di luar Daniswara Group</v>
      </c>
      <c r="D19" s="85">
        <f>VLOOKUP($A19,[1]PERTANYAAN!$A$18:$E$71,5,0)</f>
        <v>0.04</v>
      </c>
      <c r="E19" s="86"/>
      <c r="F19" s="87"/>
      <c r="G19" s="87"/>
      <c r="H19" s="144"/>
      <c r="I19" s="144"/>
      <c r="J19" s="144"/>
      <c r="K19" s="144"/>
      <c r="L19" s="144"/>
      <c r="M19" s="87">
        <f>IF(F19="V",D19*100,0)</f>
        <v>0</v>
      </c>
      <c r="N19" s="145"/>
    </row>
    <row r="20" spans="1:14" x14ac:dyDescent="0.4">
      <c r="A20" s="111"/>
      <c r="B20" s="142"/>
      <c r="C20" s="145"/>
      <c r="D20" s="86"/>
      <c r="E20" s="86"/>
      <c r="F20" s="87"/>
      <c r="G20" s="87"/>
      <c r="H20" s="144"/>
      <c r="I20" s="144"/>
      <c r="J20" s="144"/>
      <c r="K20" s="144"/>
      <c r="L20" s="144"/>
      <c r="M20" s="87"/>
      <c r="N20" s="145"/>
    </row>
    <row r="21" spans="1:14" x14ac:dyDescent="0.4">
      <c r="A21" s="111"/>
      <c r="B21" s="135" t="s">
        <v>42</v>
      </c>
      <c r="C21" s="136" t="s">
        <v>9</v>
      </c>
      <c r="D21" s="137">
        <f>SUM(D22:D25)</f>
        <v>0.05</v>
      </c>
      <c r="E21" s="137"/>
      <c r="F21" s="138"/>
      <c r="G21" s="138"/>
      <c r="H21" s="139"/>
      <c r="I21" s="139"/>
      <c r="J21" s="139"/>
      <c r="K21" s="139"/>
      <c r="L21" s="139"/>
      <c r="M21" s="138">
        <f>SUM(M22:M25)</f>
        <v>3</v>
      </c>
      <c r="N21" s="140"/>
    </row>
    <row r="22" spans="1:14" x14ac:dyDescent="0.4">
      <c r="A22" s="141" t="s">
        <v>104</v>
      </c>
      <c r="B22" s="142">
        <v>1</v>
      </c>
      <c r="C22" s="143" t="str">
        <f>VLOOKUP($A22,[1]PERTANYAAN!$A$18:$E$71,3,0)</f>
        <v>Identitas (KTP &amp; KK)</v>
      </c>
      <c r="D22" s="85">
        <f>VLOOKUP($A22,[1]PERTANYAAN!$A$18:$E$71,5,0)</f>
        <v>0.01</v>
      </c>
      <c r="E22" s="86"/>
      <c r="F22" s="87" t="s">
        <v>16</v>
      </c>
      <c r="G22" s="87"/>
      <c r="H22" s="144"/>
      <c r="I22" s="144"/>
      <c r="J22" s="144"/>
      <c r="K22" s="144"/>
      <c r="L22" s="144"/>
      <c r="M22" s="87">
        <f>IF(F22="V",D22*100,0)</f>
        <v>1</v>
      </c>
      <c r="N22" s="145"/>
    </row>
    <row r="23" spans="1:14" x14ac:dyDescent="0.4">
      <c r="A23" s="141" t="s">
        <v>105</v>
      </c>
      <c r="B23" s="142">
        <f>B22+1</f>
        <v>2</v>
      </c>
      <c r="C23" s="143" t="str">
        <f>VLOOKUP($A23,[1]PERTANYAAN!$A$18:$E$71,3,0)</f>
        <v>SIM A (utk jabatan di Divisi Operasi)</v>
      </c>
      <c r="D23" s="85">
        <f>VLOOKUP($A23,[1]PERTANYAAN!$A$18:$E$71,5,0)</f>
        <v>0.02</v>
      </c>
      <c r="E23" s="86"/>
      <c r="F23" s="87"/>
      <c r="G23" s="87" t="s">
        <v>16</v>
      </c>
      <c r="H23" s="144"/>
      <c r="I23" s="144"/>
      <c r="J23" s="144"/>
      <c r="K23" s="144"/>
      <c r="L23" s="144"/>
      <c r="M23" s="87">
        <f>IF(F23="V",D23*100,0)</f>
        <v>0</v>
      </c>
      <c r="N23" s="145" t="s">
        <v>159</v>
      </c>
    </row>
    <row r="24" spans="1:14" x14ac:dyDescent="0.4">
      <c r="A24" s="141" t="s">
        <v>106</v>
      </c>
      <c r="B24" s="142">
        <f t="shared" ref="B24:B25" si="0">B23+1</f>
        <v>3</v>
      </c>
      <c r="C24" s="143" t="str">
        <f>VLOOKUP($A24,[1]PERTANYAAN!$A$18:$E$71,3,0)</f>
        <v>SIM C</v>
      </c>
      <c r="D24" s="85">
        <f>VLOOKUP($A24,[1]PERTANYAAN!$A$18:$E$71,5,0)</f>
        <v>0.01</v>
      </c>
      <c r="E24" s="86"/>
      <c r="F24" s="87" t="s">
        <v>16</v>
      </c>
      <c r="G24" s="87"/>
      <c r="H24" s="144"/>
      <c r="I24" s="144"/>
      <c r="J24" s="144"/>
      <c r="K24" s="144"/>
      <c r="L24" s="144"/>
      <c r="M24" s="87">
        <f>IF(F24="V",D24*100,0)</f>
        <v>1</v>
      </c>
      <c r="N24" s="145"/>
    </row>
    <row r="25" spans="1:14" x14ac:dyDescent="0.4">
      <c r="A25" s="141" t="s">
        <v>107</v>
      </c>
      <c r="B25" s="142">
        <f t="shared" si="0"/>
        <v>4</v>
      </c>
      <c r="C25" s="143" t="str">
        <f>VLOOKUP($A25,[1]PERTANYAAN!$A$18:$E$71,3,0)</f>
        <v>NPWP</v>
      </c>
      <c r="D25" s="85">
        <f>VLOOKUP($A25,[1]PERTANYAAN!$A$18:$E$71,5,0)</f>
        <v>0.01</v>
      </c>
      <c r="E25" s="86"/>
      <c r="F25" s="87" t="s">
        <v>16</v>
      </c>
      <c r="G25" s="87"/>
      <c r="H25" s="144"/>
      <c r="I25" s="144"/>
      <c r="J25" s="144"/>
      <c r="K25" s="144"/>
      <c r="L25" s="144"/>
      <c r="M25" s="87">
        <f>IF(F25="V",D25*100,0)</f>
        <v>1</v>
      </c>
      <c r="N25" s="145"/>
    </row>
    <row r="26" spans="1:14" x14ac:dyDescent="0.4">
      <c r="A26" s="111"/>
      <c r="B26" s="142"/>
      <c r="C26" s="145"/>
      <c r="D26" s="86"/>
      <c r="E26" s="86"/>
      <c r="F26" s="87"/>
      <c r="G26" s="87"/>
      <c r="H26" s="144"/>
      <c r="I26" s="144"/>
      <c r="J26" s="144"/>
      <c r="K26" s="144"/>
      <c r="L26" s="144"/>
      <c r="M26" s="87"/>
      <c r="N26" s="145"/>
    </row>
    <row r="27" spans="1:14" x14ac:dyDescent="0.4">
      <c r="A27" s="111"/>
      <c r="B27" s="135" t="s">
        <v>97</v>
      </c>
      <c r="C27" s="136" t="s">
        <v>21</v>
      </c>
      <c r="D27" s="137">
        <f>D28</f>
        <v>0.35000000000000003</v>
      </c>
      <c r="E27" s="88"/>
      <c r="F27" s="89"/>
      <c r="G27" s="89"/>
      <c r="H27" s="139"/>
      <c r="I27" s="139"/>
      <c r="J27" s="139"/>
      <c r="K27" s="139"/>
      <c r="L27" s="139"/>
      <c r="M27" s="138">
        <f>M28</f>
        <v>28</v>
      </c>
      <c r="N27" s="140"/>
    </row>
    <row r="28" spans="1:14" x14ac:dyDescent="0.4">
      <c r="A28" s="141" t="s">
        <v>108</v>
      </c>
      <c r="B28" s="142">
        <v>1</v>
      </c>
      <c r="C28" s="143" t="str">
        <f>VLOOKUP($A28,[1]PERTANYAAN!$A$18:$E$71,3,0)</f>
        <v>Operasi / Logistik</v>
      </c>
      <c r="D28" s="85">
        <f>VLOOKUP($A28,[1]PERTANYAAN!$A$18:$E$71,5,0)</f>
        <v>0.35000000000000003</v>
      </c>
      <c r="E28" s="86"/>
      <c r="F28" s="87"/>
      <c r="G28" s="87"/>
      <c r="H28" s="144"/>
      <c r="I28" s="144"/>
      <c r="J28" s="144"/>
      <c r="K28" s="144"/>
      <c r="L28" s="144"/>
      <c r="M28" s="87">
        <f>SUM(M29:M33)</f>
        <v>28</v>
      </c>
      <c r="N28" s="145"/>
    </row>
    <row r="29" spans="1:14" x14ac:dyDescent="0.4">
      <c r="A29" s="141" t="s">
        <v>109</v>
      </c>
      <c r="B29" s="146" t="s">
        <v>6</v>
      </c>
      <c r="C29" s="143" t="str">
        <f>VLOOKUP($A29,[1]PERTANYAAN!$A$18:$E$71,3,0)</f>
        <v>Skill Mengemudi</v>
      </c>
      <c r="D29" s="85">
        <f>VLOOKUP($A29,[1]PERTANYAAN!$A$18:$E$71,5,0)</f>
        <v>0.15</v>
      </c>
      <c r="E29" s="86"/>
      <c r="F29" s="87"/>
      <c r="G29" s="87"/>
      <c r="H29" s="144"/>
      <c r="I29" s="144"/>
      <c r="J29" s="144"/>
      <c r="K29" s="144" t="s">
        <v>16</v>
      </c>
      <c r="L29" s="144"/>
      <c r="M29" s="87">
        <f>IF(H29="V",$D29*H$15,IF(I29="V",$D29*I$15,IF(J29="V",$D29*J$15,IF(K29="V",$D29*K$15,IF(L29="V",$D29*L$15,0)))))*100</f>
        <v>12</v>
      </c>
      <c r="N29" s="145"/>
    </row>
    <row r="30" spans="1:14" x14ac:dyDescent="0.4">
      <c r="A30" s="141" t="s">
        <v>110</v>
      </c>
      <c r="B30" s="146" t="s">
        <v>6</v>
      </c>
      <c r="C30" s="143" t="str">
        <f>VLOOKUP($A30,[1]PERTANYAAN!$A$18:$E$71,3,0)</f>
        <v>Flow Administrasi Logistik</v>
      </c>
      <c r="D30" s="85">
        <f>VLOOKUP($A30,[1]PERTANYAAN!$A$18:$E$71,5,0)</f>
        <v>0.1</v>
      </c>
      <c r="E30" s="86"/>
      <c r="F30" s="87"/>
      <c r="G30" s="87"/>
      <c r="H30" s="144"/>
      <c r="I30" s="144"/>
      <c r="J30" s="144"/>
      <c r="K30" s="144" t="s">
        <v>16</v>
      </c>
      <c r="L30" s="144"/>
      <c r="M30" s="87">
        <f t="shared" ref="M30:M32" si="1">IF(H30="V",$D30*H$15,IF(I30="V",$D30*I$15,IF(J30="V",$D30*J$15,IF(K30="V",$D30*K$15,IF(L30="V",$D30*L$15,0)))))*100</f>
        <v>8.0000000000000018</v>
      </c>
      <c r="N30" s="145"/>
    </row>
    <row r="31" spans="1:14" x14ac:dyDescent="0.4">
      <c r="A31" s="141" t="s">
        <v>111</v>
      </c>
      <c r="B31" s="146" t="s">
        <v>6</v>
      </c>
      <c r="C31" s="143" t="str">
        <f>VLOOKUP($A31,[1]PERTANYAAN!$A$18:$E$71,3,0)</f>
        <v>Pengetahuan terkait logistik</v>
      </c>
      <c r="D31" s="85">
        <f>VLOOKUP($A31,[1]PERTANYAAN!$A$18:$E$71,5,0)</f>
        <v>2.5000000000000001E-2</v>
      </c>
      <c r="E31" s="86"/>
      <c r="F31" s="87"/>
      <c r="G31" s="87"/>
      <c r="H31" s="144"/>
      <c r="I31" s="144"/>
      <c r="J31" s="144"/>
      <c r="K31" s="144" t="s">
        <v>16</v>
      </c>
      <c r="L31" s="144"/>
      <c r="M31" s="87">
        <f t="shared" si="1"/>
        <v>2.0000000000000004</v>
      </c>
      <c r="N31" s="145"/>
    </row>
    <row r="32" spans="1:14" x14ac:dyDescent="0.4">
      <c r="A32" s="141" t="s">
        <v>112</v>
      </c>
      <c r="B32" s="146" t="s">
        <v>6</v>
      </c>
      <c r="C32" s="143" t="str">
        <f>VLOOKUP($A32,[1]PERTANYAAN!$A$18:$E$71,3,0)</f>
        <v>Pengalaman di Bongkar Muat</v>
      </c>
      <c r="D32" s="85">
        <f>VLOOKUP($A32,[1]PERTANYAAN!$A$18:$E$71,5,0)</f>
        <v>7.4999999999999997E-2</v>
      </c>
      <c r="E32" s="86"/>
      <c r="F32" s="87"/>
      <c r="G32" s="87"/>
      <c r="H32" s="144"/>
      <c r="I32" s="144"/>
      <c r="J32" s="144"/>
      <c r="K32" s="144" t="s">
        <v>16</v>
      </c>
      <c r="L32" s="144"/>
      <c r="M32" s="87">
        <f t="shared" si="1"/>
        <v>6</v>
      </c>
      <c r="N32" s="145"/>
    </row>
    <row r="33" spans="1:14" x14ac:dyDescent="0.4">
      <c r="A33" s="111"/>
      <c r="B33" s="142"/>
      <c r="C33" s="145"/>
      <c r="D33" s="86"/>
      <c r="E33" s="86"/>
      <c r="F33" s="87"/>
      <c r="G33" s="87"/>
      <c r="H33" s="144"/>
      <c r="I33" s="144"/>
      <c r="J33" s="144"/>
      <c r="K33" s="144"/>
      <c r="L33" s="144"/>
      <c r="M33" s="87"/>
      <c r="N33" s="145"/>
    </row>
    <row r="34" spans="1:14" hidden="1" outlineLevel="1" x14ac:dyDescent="0.4">
      <c r="A34" s="111"/>
      <c r="B34" s="142">
        <f>B28+1</f>
        <v>2</v>
      </c>
      <c r="C34" s="145" t="s">
        <v>22</v>
      </c>
      <c r="D34" s="86">
        <f>SUM(D35:D37)</f>
        <v>0.35</v>
      </c>
      <c r="E34" s="86"/>
      <c r="F34" s="87"/>
      <c r="G34" s="87"/>
      <c r="H34" s="144"/>
      <c r="I34" s="144"/>
      <c r="J34" s="144"/>
      <c r="K34" s="144"/>
      <c r="L34" s="144"/>
      <c r="M34" s="87"/>
      <c r="N34" s="145"/>
    </row>
    <row r="35" spans="1:14" hidden="1" outlineLevel="1" x14ac:dyDescent="0.4">
      <c r="A35" s="111"/>
      <c r="B35" s="146" t="s">
        <v>6</v>
      </c>
      <c r="C35" s="145" t="s">
        <v>44</v>
      </c>
      <c r="D35" s="86">
        <v>0.15</v>
      </c>
      <c r="E35" s="86"/>
      <c r="F35" s="87"/>
      <c r="G35" s="87"/>
      <c r="H35" s="144"/>
      <c r="I35" s="144"/>
      <c r="J35" s="144"/>
      <c r="K35" s="144"/>
      <c r="L35" s="144"/>
      <c r="M35" s="87"/>
      <c r="N35" s="145"/>
    </row>
    <row r="36" spans="1:14" hidden="1" outlineLevel="1" x14ac:dyDescent="0.4">
      <c r="A36" s="111"/>
      <c r="B36" s="146" t="s">
        <v>6</v>
      </c>
      <c r="C36" s="145" t="s">
        <v>50</v>
      </c>
      <c r="D36" s="86">
        <v>0.2</v>
      </c>
      <c r="E36" s="86"/>
      <c r="F36" s="87"/>
      <c r="G36" s="87"/>
      <c r="H36" s="144"/>
      <c r="I36" s="144"/>
      <c r="J36" s="144"/>
      <c r="K36" s="144"/>
      <c r="L36" s="144"/>
      <c r="M36" s="87"/>
      <c r="N36" s="145"/>
    </row>
    <row r="37" spans="1:14" hidden="1" outlineLevel="1" x14ac:dyDescent="0.4">
      <c r="A37" s="111"/>
      <c r="B37" s="142"/>
      <c r="C37" s="145"/>
      <c r="D37" s="86"/>
      <c r="E37" s="86"/>
      <c r="F37" s="87"/>
      <c r="G37" s="87"/>
      <c r="H37" s="144"/>
      <c r="I37" s="144"/>
      <c r="J37" s="144"/>
      <c r="K37" s="144"/>
      <c r="L37" s="144"/>
      <c r="M37" s="87"/>
      <c r="N37" s="145"/>
    </row>
    <row r="38" spans="1:14" hidden="1" outlineLevel="1" x14ac:dyDescent="0.4">
      <c r="A38" s="111"/>
      <c r="B38" s="142">
        <v>3</v>
      </c>
      <c r="C38" s="145" t="s">
        <v>23</v>
      </c>
      <c r="D38" s="86"/>
      <c r="E38" s="86"/>
      <c r="F38" s="87"/>
      <c r="G38" s="87"/>
      <c r="H38" s="144"/>
      <c r="I38" s="144"/>
      <c r="J38" s="144"/>
      <c r="K38" s="144"/>
      <c r="L38" s="144"/>
      <c r="M38" s="87"/>
      <c r="N38" s="145"/>
    </row>
    <row r="39" spans="1:14" hidden="1" outlineLevel="1" x14ac:dyDescent="0.4">
      <c r="A39" s="111"/>
      <c r="B39" s="146" t="s">
        <v>6</v>
      </c>
      <c r="C39" s="145" t="s">
        <v>52</v>
      </c>
      <c r="D39" s="86"/>
      <c r="E39" s="86"/>
      <c r="F39" s="87"/>
      <c r="G39" s="87"/>
      <c r="H39" s="144"/>
      <c r="I39" s="144"/>
      <c r="J39" s="144"/>
      <c r="K39" s="144"/>
      <c r="L39" s="144"/>
      <c r="M39" s="87"/>
      <c r="N39" s="145"/>
    </row>
    <row r="40" spans="1:14" hidden="1" outlineLevel="1" x14ac:dyDescent="0.4">
      <c r="A40" s="111"/>
      <c r="B40" s="146" t="s">
        <v>6</v>
      </c>
      <c r="C40" s="145" t="s">
        <v>53</v>
      </c>
      <c r="D40" s="86"/>
      <c r="E40" s="86"/>
      <c r="F40" s="87"/>
      <c r="G40" s="87"/>
      <c r="H40" s="144"/>
      <c r="I40" s="144"/>
      <c r="J40" s="144"/>
      <c r="K40" s="144"/>
      <c r="L40" s="144"/>
      <c r="M40" s="87"/>
      <c r="N40" s="145"/>
    </row>
    <row r="41" spans="1:14" hidden="1" outlineLevel="1" x14ac:dyDescent="0.4">
      <c r="A41" s="111"/>
      <c r="B41" s="146" t="s">
        <v>6</v>
      </c>
      <c r="C41" s="145"/>
      <c r="D41" s="86"/>
      <c r="E41" s="86"/>
      <c r="F41" s="87"/>
      <c r="G41" s="87"/>
      <c r="H41" s="144"/>
      <c r="I41" s="144"/>
      <c r="J41" s="144"/>
      <c r="K41" s="144"/>
      <c r="L41" s="144"/>
      <c r="M41" s="87"/>
      <c r="N41" s="145"/>
    </row>
    <row r="42" spans="1:14" hidden="1" outlineLevel="1" x14ac:dyDescent="0.4">
      <c r="A42" s="111"/>
      <c r="B42" s="142"/>
      <c r="C42" s="145"/>
      <c r="D42" s="86"/>
      <c r="E42" s="86"/>
      <c r="F42" s="87"/>
      <c r="G42" s="87"/>
      <c r="H42" s="144"/>
      <c r="I42" s="144"/>
      <c r="J42" s="144"/>
      <c r="K42" s="144"/>
      <c r="L42" s="144"/>
      <c r="M42" s="87"/>
      <c r="N42" s="145"/>
    </row>
    <row r="43" spans="1:14" s="110" customFormat="1" collapsed="1" x14ac:dyDescent="0.4">
      <c r="A43" s="129"/>
      <c r="B43" s="135" t="s">
        <v>98</v>
      </c>
      <c r="C43" s="136" t="s">
        <v>24</v>
      </c>
      <c r="D43" s="137">
        <f>D44</f>
        <v>0.25</v>
      </c>
      <c r="E43" s="137"/>
      <c r="F43" s="138"/>
      <c r="G43" s="138"/>
      <c r="H43" s="147"/>
      <c r="I43" s="147"/>
      <c r="J43" s="147"/>
      <c r="K43" s="147"/>
      <c r="L43" s="147"/>
      <c r="M43" s="138">
        <f>M44</f>
        <v>23.5</v>
      </c>
      <c r="N43" s="136"/>
    </row>
    <row r="44" spans="1:14" x14ac:dyDescent="0.4">
      <c r="A44" s="111" t="s">
        <v>113</v>
      </c>
      <c r="B44" s="142">
        <v>1</v>
      </c>
      <c r="C44" s="143" t="str">
        <f>VLOOKUP($A44,[1]PERTANYAAN!$A$18:$E$71,3,0)</f>
        <v>Staff</v>
      </c>
      <c r="D44" s="85">
        <f>VLOOKUP($A44,[1]PERTANYAAN!$A$18:$E$71,5,0)</f>
        <v>0.25</v>
      </c>
      <c r="E44" s="86"/>
      <c r="F44" s="87"/>
      <c r="G44" s="87"/>
      <c r="H44" s="144"/>
      <c r="I44" s="144"/>
      <c r="J44" s="144"/>
      <c r="K44" s="144"/>
      <c r="L44" s="144"/>
      <c r="M44" s="87">
        <f>SUM(M45:M48)</f>
        <v>23.5</v>
      </c>
      <c r="N44" s="145"/>
    </row>
    <row r="45" spans="1:14" x14ac:dyDescent="0.4">
      <c r="A45" s="141" t="s">
        <v>114</v>
      </c>
      <c r="B45" s="146" t="s">
        <v>6</v>
      </c>
      <c r="C45" s="143" t="str">
        <f>VLOOKUP($A45,[1]PERTANYAAN!$A$18:$E$71,3,0)</f>
        <v>Kepemimpinan</v>
      </c>
      <c r="D45" s="85">
        <f>VLOOKUP($A45,[1]PERTANYAAN!$A$18:$E$71,5,0)</f>
        <v>2.5000000000000001E-2</v>
      </c>
      <c r="E45" s="86"/>
      <c r="F45" s="87"/>
      <c r="G45" s="87"/>
      <c r="H45" s="144"/>
      <c r="I45" s="144"/>
      <c r="J45" s="144"/>
      <c r="K45" s="144"/>
      <c r="L45" s="144" t="s">
        <v>16</v>
      </c>
      <c r="M45" s="87">
        <f>IF(H45="V",$D45*H$15,IF(I45="V",$D45*I$15,IF(J45="V",$D45*J$15,IF(K45="V",$D45*K$15,IF(L45="V",$D45*L$15,0)))))*100</f>
        <v>2.5</v>
      </c>
      <c r="N45" s="145"/>
    </row>
    <row r="46" spans="1:14" x14ac:dyDescent="0.4">
      <c r="A46" s="141" t="s">
        <v>115</v>
      </c>
      <c r="B46" s="146" t="s">
        <v>6</v>
      </c>
      <c r="C46" s="143" t="str">
        <f>VLOOKUP($A46,[1]PERTANYAAN!$A$18:$E$71,3,0)</f>
        <v>Komunikasi</v>
      </c>
      <c r="D46" s="85">
        <f>VLOOKUP($A46,[1]PERTANYAAN!$A$18:$E$71,5,0)</f>
        <v>0.1</v>
      </c>
      <c r="E46" s="86"/>
      <c r="F46" s="87"/>
      <c r="G46" s="87"/>
      <c r="H46" s="144"/>
      <c r="I46" s="144"/>
      <c r="J46" s="144"/>
      <c r="K46" s="144"/>
      <c r="L46" s="144" t="s">
        <v>16</v>
      </c>
      <c r="M46" s="87">
        <f>IF(H46="V",$D46*H$15,IF(I46="V",$D46*I$15,IF(J46="V",$D46*J$15,IF(K46="V",$D46*K$15,IF(L46="V",$D46*L$15,0)))))*100</f>
        <v>10</v>
      </c>
      <c r="N46" s="145"/>
    </row>
    <row r="47" spans="1:14" x14ac:dyDescent="0.4">
      <c r="A47" s="141" t="s">
        <v>116</v>
      </c>
      <c r="B47" s="146" t="s">
        <v>6</v>
      </c>
      <c r="C47" s="143" t="str">
        <f>VLOOKUP($A47,[1]PERTANYAAN!$A$18:$E$71,3,0)</f>
        <v>Patuh pada Peraturan / Commitment</v>
      </c>
      <c r="D47" s="85">
        <f>VLOOKUP($A47,[1]PERTANYAAN!$A$18:$E$71,5,0)</f>
        <v>0.05</v>
      </c>
      <c r="E47" s="86"/>
      <c r="F47" s="87"/>
      <c r="G47" s="87"/>
      <c r="H47" s="144"/>
      <c r="I47" s="144"/>
      <c r="J47" s="144"/>
      <c r="K47" s="144"/>
      <c r="L47" s="144" t="s">
        <v>16</v>
      </c>
      <c r="M47" s="87">
        <f>IF(H47="V",$D47*H$15,IF(I47="V",$D47*I$15,IF(J47="V",$D47*J$15,IF(K47="V",$D47*K$15,IF(L47="V",$D47*L$15,0)))))*100</f>
        <v>5</v>
      </c>
      <c r="N47" s="145"/>
    </row>
    <row r="48" spans="1:14" x14ac:dyDescent="0.4">
      <c r="A48" s="141" t="s">
        <v>117</v>
      </c>
      <c r="B48" s="146" t="s">
        <v>6</v>
      </c>
      <c r="C48" s="143" t="str">
        <f>VLOOKUP($A48,[1]PERTANYAAN!$A$18:$E$71,3,0)</f>
        <v>Determinasi thd tekanan</v>
      </c>
      <c r="D48" s="85">
        <f>VLOOKUP($A48,[1]PERTANYAAN!$A$18:$E$71,5,0)</f>
        <v>7.4999999999999997E-2</v>
      </c>
      <c r="E48" s="86"/>
      <c r="F48" s="87"/>
      <c r="G48" s="87"/>
      <c r="H48" s="144"/>
      <c r="I48" s="144"/>
      <c r="J48" s="144"/>
      <c r="K48" s="144" t="s">
        <v>16</v>
      </c>
      <c r="L48" s="144"/>
      <c r="M48" s="87">
        <f>IF(H48="V",$D48*H$15,IF(I48="V",$D48*I$15,IF(J48="V",$D48*J$15,IF(K48="V",$D48*K$15,IF(L48="V",$D48*L$15,0)))))*100</f>
        <v>6</v>
      </c>
      <c r="N48" s="145"/>
    </row>
    <row r="49" spans="1:14" x14ac:dyDescent="0.4">
      <c r="A49" s="111"/>
      <c r="B49" s="142"/>
      <c r="C49" s="145"/>
      <c r="D49" s="86"/>
      <c r="E49" s="86"/>
      <c r="F49" s="87"/>
      <c r="G49" s="87"/>
      <c r="H49" s="144"/>
      <c r="I49" s="144"/>
      <c r="J49" s="144"/>
      <c r="K49" s="144"/>
      <c r="L49" s="144"/>
      <c r="M49" s="87"/>
      <c r="N49" s="145"/>
    </row>
    <row r="50" spans="1:14" hidden="1" outlineLevel="1" x14ac:dyDescent="0.4">
      <c r="A50" s="111"/>
      <c r="B50" s="142">
        <v>2</v>
      </c>
      <c r="C50" s="145" t="s">
        <v>26</v>
      </c>
      <c r="D50" s="86"/>
      <c r="E50" s="86"/>
      <c r="F50" s="87"/>
      <c r="G50" s="87"/>
      <c r="H50" s="144"/>
      <c r="I50" s="144"/>
      <c r="J50" s="144"/>
      <c r="K50" s="144"/>
      <c r="L50" s="144"/>
      <c r="M50" s="87"/>
      <c r="N50" s="145"/>
    </row>
    <row r="51" spans="1:14" hidden="1" outlineLevel="1" x14ac:dyDescent="0.4">
      <c r="A51" s="111"/>
      <c r="B51" s="146" t="s">
        <v>6</v>
      </c>
      <c r="C51" s="145" t="s">
        <v>54</v>
      </c>
      <c r="D51" s="86"/>
      <c r="E51" s="86"/>
      <c r="F51" s="87"/>
      <c r="G51" s="87"/>
      <c r="H51" s="144"/>
      <c r="I51" s="144"/>
      <c r="J51" s="144"/>
      <c r="K51" s="144"/>
      <c r="L51" s="144"/>
      <c r="M51" s="87"/>
      <c r="N51" s="145"/>
    </row>
    <row r="52" spans="1:14" hidden="1" outlineLevel="1" x14ac:dyDescent="0.4">
      <c r="A52" s="111"/>
      <c r="B52" s="146" t="s">
        <v>6</v>
      </c>
      <c r="C52" s="145" t="s">
        <v>55</v>
      </c>
      <c r="D52" s="86"/>
      <c r="E52" s="86"/>
      <c r="F52" s="87"/>
      <c r="G52" s="87"/>
      <c r="H52" s="144"/>
      <c r="I52" s="144"/>
      <c r="J52" s="144"/>
      <c r="K52" s="144"/>
      <c r="L52" s="144"/>
      <c r="M52" s="87"/>
      <c r="N52" s="145"/>
    </row>
    <row r="53" spans="1:14" hidden="1" outlineLevel="1" x14ac:dyDescent="0.4">
      <c r="A53" s="111"/>
      <c r="B53" s="146" t="s">
        <v>6</v>
      </c>
      <c r="C53" s="145" t="s">
        <v>56</v>
      </c>
      <c r="D53" s="86"/>
      <c r="E53" s="86"/>
      <c r="F53" s="87"/>
      <c r="G53" s="87"/>
      <c r="H53" s="144"/>
      <c r="I53" s="144"/>
      <c r="J53" s="144"/>
      <c r="K53" s="144"/>
      <c r="L53" s="144"/>
      <c r="M53" s="87"/>
      <c r="N53" s="145"/>
    </row>
    <row r="54" spans="1:14" hidden="1" outlineLevel="1" x14ac:dyDescent="0.4">
      <c r="A54" s="111"/>
      <c r="B54" s="142"/>
      <c r="C54" s="145"/>
      <c r="D54" s="86"/>
      <c r="E54" s="86"/>
      <c r="F54" s="87"/>
      <c r="G54" s="87"/>
      <c r="H54" s="144"/>
      <c r="I54" s="144"/>
      <c r="J54" s="144"/>
      <c r="K54" s="144"/>
      <c r="L54" s="144"/>
      <c r="M54" s="87"/>
      <c r="N54" s="145"/>
    </row>
    <row r="55" spans="1:14" hidden="1" outlineLevel="1" x14ac:dyDescent="0.4">
      <c r="A55" s="111"/>
      <c r="B55" s="142">
        <v>3</v>
      </c>
      <c r="C55" s="145" t="s">
        <v>27</v>
      </c>
      <c r="D55" s="86"/>
      <c r="E55" s="86"/>
      <c r="F55" s="87"/>
      <c r="G55" s="87"/>
      <c r="H55" s="144"/>
      <c r="I55" s="144"/>
      <c r="J55" s="144"/>
      <c r="K55" s="144"/>
      <c r="L55" s="144"/>
      <c r="M55" s="87"/>
      <c r="N55" s="145"/>
    </row>
    <row r="56" spans="1:14" hidden="1" outlineLevel="1" x14ac:dyDescent="0.4">
      <c r="A56" s="111"/>
      <c r="B56" s="146" t="s">
        <v>6</v>
      </c>
      <c r="C56" s="145" t="s">
        <v>54</v>
      </c>
      <c r="D56" s="86"/>
      <c r="E56" s="86"/>
      <c r="F56" s="87"/>
      <c r="G56" s="87"/>
      <c r="H56" s="144"/>
      <c r="I56" s="144"/>
      <c r="J56" s="144"/>
      <c r="K56" s="144"/>
      <c r="L56" s="144"/>
      <c r="M56" s="87"/>
      <c r="N56" s="145"/>
    </row>
    <row r="57" spans="1:14" hidden="1" outlineLevel="1" x14ac:dyDescent="0.4">
      <c r="A57" s="111"/>
      <c r="B57" s="146" t="s">
        <v>6</v>
      </c>
      <c r="C57" s="145" t="s">
        <v>56</v>
      </c>
      <c r="D57" s="86"/>
      <c r="E57" s="86"/>
      <c r="F57" s="87"/>
      <c r="G57" s="87"/>
      <c r="H57" s="144"/>
      <c r="I57" s="144"/>
      <c r="J57" s="144"/>
      <c r="K57" s="144"/>
      <c r="L57" s="144"/>
      <c r="M57" s="87"/>
      <c r="N57" s="145"/>
    </row>
    <row r="58" spans="1:14" hidden="1" outlineLevel="1" x14ac:dyDescent="0.4">
      <c r="A58" s="111"/>
      <c r="B58" s="146" t="s">
        <v>6</v>
      </c>
      <c r="C58" s="145" t="s">
        <v>57</v>
      </c>
      <c r="D58" s="86"/>
      <c r="E58" s="86"/>
      <c r="F58" s="87"/>
      <c r="G58" s="87"/>
      <c r="H58" s="144"/>
      <c r="I58" s="144"/>
      <c r="J58" s="144"/>
      <c r="K58" s="144"/>
      <c r="L58" s="144"/>
      <c r="M58" s="87"/>
      <c r="N58" s="145"/>
    </row>
    <row r="59" spans="1:14" hidden="1" outlineLevel="1" x14ac:dyDescent="0.4">
      <c r="A59" s="111"/>
      <c r="B59" s="142"/>
      <c r="C59" s="145"/>
      <c r="D59" s="86"/>
      <c r="E59" s="86"/>
      <c r="F59" s="87"/>
      <c r="G59" s="87"/>
      <c r="H59" s="144"/>
      <c r="I59" s="144"/>
      <c r="J59" s="144"/>
      <c r="K59" s="144"/>
      <c r="L59" s="144"/>
      <c r="M59" s="87"/>
      <c r="N59" s="145"/>
    </row>
    <row r="60" spans="1:14" s="110" customFormat="1" collapsed="1" x14ac:dyDescent="0.4">
      <c r="A60" s="129"/>
      <c r="B60" s="135" t="s">
        <v>99</v>
      </c>
      <c r="C60" s="136" t="s">
        <v>46</v>
      </c>
      <c r="D60" s="137">
        <f>SUM(D61:D64)</f>
        <v>0.15</v>
      </c>
      <c r="E60" s="137"/>
      <c r="F60" s="138"/>
      <c r="G60" s="138"/>
      <c r="H60" s="147"/>
      <c r="I60" s="147"/>
      <c r="J60" s="147"/>
      <c r="K60" s="147"/>
      <c r="L60" s="147"/>
      <c r="M60" s="138">
        <f>SUM(M61:M64)</f>
        <v>13.5</v>
      </c>
      <c r="N60" s="136"/>
    </row>
    <row r="61" spans="1:14" x14ac:dyDescent="0.4">
      <c r="A61" s="141" t="s">
        <v>118</v>
      </c>
      <c r="B61" s="146" t="s">
        <v>6</v>
      </c>
      <c r="C61" s="143" t="str">
        <f>VLOOKUP($A61,[1]PERTANYAAN!$A$18:$E$71,3,0)</f>
        <v>Antusiasme / Keinginan bergabung</v>
      </c>
      <c r="D61" s="85">
        <f>VLOOKUP($A61,[1]PERTANYAAN!$A$18:$E$71,5,0)</f>
        <v>7.4999999999999997E-2</v>
      </c>
      <c r="E61" s="86"/>
      <c r="F61" s="87"/>
      <c r="G61" s="87"/>
      <c r="H61" s="144"/>
      <c r="I61" s="144"/>
      <c r="J61" s="144"/>
      <c r="K61" s="144" t="s">
        <v>16</v>
      </c>
      <c r="L61" s="144"/>
      <c r="M61" s="87">
        <f t="shared" ref="M61:M63" si="2">IF(H61="V",$D61*H$15,IF(I61="V",$D61*I$15,IF(J61="V",$D61*J$15,IF(K61="V",$D61*K$15,IF(L61="V",$D61*L$15,0)))))*100</f>
        <v>6</v>
      </c>
      <c r="N61" s="145"/>
    </row>
    <row r="62" spans="1:14" x14ac:dyDescent="0.4">
      <c r="A62" s="141" t="s">
        <v>119</v>
      </c>
      <c r="B62" s="146" t="s">
        <v>6</v>
      </c>
      <c r="C62" s="143" t="str">
        <f>VLOOKUP($A62,[1]PERTANYAAN!$A$18:$E$71,3,0)</f>
        <v>Inisiatif</v>
      </c>
      <c r="D62" s="85">
        <f>VLOOKUP($A62,[1]PERTANYAAN!$A$18:$E$71,5,0)</f>
        <v>0.05</v>
      </c>
      <c r="E62" s="86"/>
      <c r="F62" s="87"/>
      <c r="G62" s="87"/>
      <c r="H62" s="144"/>
      <c r="I62" s="144"/>
      <c r="J62" s="144"/>
      <c r="K62" s="144"/>
      <c r="L62" s="144" t="s">
        <v>16</v>
      </c>
      <c r="M62" s="87">
        <f t="shared" si="2"/>
        <v>5</v>
      </c>
      <c r="N62" s="145"/>
    </row>
    <row r="63" spans="1:14" x14ac:dyDescent="0.4">
      <c r="A63" s="141" t="s">
        <v>120</v>
      </c>
      <c r="B63" s="146" t="s">
        <v>6</v>
      </c>
      <c r="C63" s="143" t="str">
        <f>VLOOKUP($A63,[1]PERTANYAAN!$A$18:$E$71,3,0)</f>
        <v>Adaptif</v>
      </c>
      <c r="D63" s="85">
        <f>VLOOKUP($A63,[1]PERTANYAAN!$A$18:$E$71,5,0)</f>
        <v>2.5000000000000001E-2</v>
      </c>
      <c r="E63" s="86"/>
      <c r="F63" s="87"/>
      <c r="G63" s="87"/>
      <c r="H63" s="144"/>
      <c r="I63" s="144"/>
      <c r="J63" s="144"/>
      <c r="K63" s="144"/>
      <c r="L63" s="144" t="s">
        <v>16</v>
      </c>
      <c r="M63" s="87">
        <f t="shared" si="2"/>
        <v>2.5</v>
      </c>
      <c r="N63" s="145"/>
    </row>
    <row r="64" spans="1:14" x14ac:dyDescent="0.4">
      <c r="A64" s="111"/>
      <c r="B64" s="142"/>
      <c r="C64" s="145"/>
      <c r="D64" s="86"/>
      <c r="E64" s="86"/>
      <c r="F64" s="87"/>
      <c r="G64" s="87"/>
      <c r="H64" s="144"/>
      <c r="I64" s="144"/>
      <c r="J64" s="144"/>
      <c r="K64" s="144"/>
      <c r="L64" s="144"/>
      <c r="M64" s="87"/>
      <c r="N64" s="145"/>
    </row>
    <row r="65" spans="1:14" s="110" customFormat="1" x14ac:dyDescent="0.4">
      <c r="A65" s="129"/>
      <c r="B65" s="135" t="s">
        <v>100</v>
      </c>
      <c r="C65" s="136" t="s">
        <v>48</v>
      </c>
      <c r="D65" s="137">
        <f>SUM(D66:D68)</f>
        <v>0.05</v>
      </c>
      <c r="E65" s="137"/>
      <c r="F65" s="138"/>
      <c r="G65" s="138"/>
      <c r="H65" s="147"/>
      <c r="I65" s="147"/>
      <c r="J65" s="147"/>
      <c r="K65" s="147"/>
      <c r="L65" s="147"/>
      <c r="M65" s="138">
        <f>SUM(M66:M68)</f>
        <v>4</v>
      </c>
      <c r="N65" s="136"/>
    </row>
    <row r="66" spans="1:14" x14ac:dyDescent="0.4">
      <c r="A66" s="141" t="s">
        <v>121</v>
      </c>
      <c r="B66" s="146" t="s">
        <v>6</v>
      </c>
      <c r="C66" s="143" t="str">
        <f>VLOOKUP($A66,[1]PERTANYAAN!$A$18:$E$71,3,0)</f>
        <v>Ekspektasi Salary (Mengukur Budget &amp; Skill)</v>
      </c>
      <c r="D66" s="85">
        <f>VLOOKUP($A66,[1]PERTANYAAN!$A$18:$E$71,5,0)</f>
        <v>0.04</v>
      </c>
      <c r="E66" s="86"/>
      <c r="F66" s="87"/>
      <c r="G66" s="87"/>
      <c r="H66" s="144"/>
      <c r="I66" s="144"/>
      <c r="J66" s="144"/>
      <c r="K66" s="144" t="s">
        <v>16</v>
      </c>
      <c r="L66" s="144"/>
      <c r="M66" s="87">
        <f t="shared" ref="M66:M67" si="3">IF(H66="V",$D66*H$15,IF(I66="V",$D66*I$15,IF(J66="V",$D66*J$15,IF(K66="V",$D66*K$15,IF(L66="V",$D66*L$15,0)))))*100</f>
        <v>3.2</v>
      </c>
      <c r="N66" s="145"/>
    </row>
    <row r="67" spans="1:14" x14ac:dyDescent="0.4">
      <c r="A67" s="141" t="s">
        <v>122</v>
      </c>
      <c r="B67" s="146" t="s">
        <v>6</v>
      </c>
      <c r="C67" s="143" t="str">
        <f>VLOOKUP($A67,[1]PERTANYAAN!$A$18:$E$71,3,0)</f>
        <v>Tujuan Karir</v>
      </c>
      <c r="D67" s="85">
        <f>VLOOKUP($A67,[1]PERTANYAAN!$A$18:$E$71,5,0)</f>
        <v>0.01</v>
      </c>
      <c r="E67" s="86"/>
      <c r="F67" s="87"/>
      <c r="G67" s="87"/>
      <c r="H67" s="144"/>
      <c r="I67" s="144"/>
      <c r="J67" s="144"/>
      <c r="K67" s="144" t="s">
        <v>16</v>
      </c>
      <c r="L67" s="144"/>
      <c r="M67" s="87">
        <f t="shared" si="3"/>
        <v>0.8</v>
      </c>
      <c r="N67" s="145"/>
    </row>
    <row r="68" spans="1:14" x14ac:dyDescent="0.4">
      <c r="A68" s="141"/>
      <c r="B68" s="142"/>
      <c r="C68" s="145"/>
      <c r="D68" s="86"/>
      <c r="E68" s="86"/>
      <c r="F68" s="87"/>
      <c r="G68" s="87"/>
      <c r="H68" s="144"/>
      <c r="I68" s="144"/>
      <c r="J68" s="144"/>
      <c r="K68" s="144"/>
      <c r="L68" s="144"/>
      <c r="M68" s="87"/>
      <c r="N68" s="145"/>
    </row>
    <row r="69" spans="1:14" s="110" customFormat="1" x14ac:dyDescent="0.4">
      <c r="A69" s="129"/>
      <c r="B69" s="135" t="s">
        <v>101</v>
      </c>
      <c r="C69" s="136" t="s">
        <v>134</v>
      </c>
      <c r="D69" s="137">
        <f>SUM(D70:D70)</f>
        <v>0.05</v>
      </c>
      <c r="E69" s="137"/>
      <c r="F69" s="138"/>
      <c r="G69" s="138"/>
      <c r="H69" s="147"/>
      <c r="I69" s="147"/>
      <c r="J69" s="147"/>
      <c r="K69" s="147"/>
      <c r="L69" s="147"/>
      <c r="M69" s="138">
        <f>SUM(M70)</f>
        <v>5</v>
      </c>
      <c r="N69" s="136"/>
    </row>
    <row r="70" spans="1:14" x14ac:dyDescent="0.4">
      <c r="A70" s="141" t="s">
        <v>123</v>
      </c>
      <c r="B70" s="146" t="s">
        <v>6</v>
      </c>
      <c r="C70" s="143" t="str">
        <f>VLOOKUP($A70,[1]PERTANYAAN!$A$18:$E$71,3,0)</f>
        <v>Pertanyaan Spesifik User</v>
      </c>
      <c r="D70" s="85">
        <f>VLOOKUP($A70,[1]PERTANYAAN!$A$18:$E$71,5,0)</f>
        <v>0.05</v>
      </c>
      <c r="E70" s="86"/>
      <c r="F70" s="87"/>
      <c r="G70" s="87"/>
      <c r="H70" s="144"/>
      <c r="I70" s="144"/>
      <c r="J70" s="144"/>
      <c r="K70" s="144"/>
      <c r="L70" s="144" t="s">
        <v>16</v>
      </c>
      <c r="M70" s="87">
        <f t="shared" ref="M70" si="4">IF(H70="V",$D70*H$15,IF(I70="V",$D70*I$15,IF(J70="V",$D70*J$15,IF(K70="V",$D70*K$15,IF(L70="V",$D70*L$15,0)))))*100</f>
        <v>5</v>
      </c>
      <c r="N70" s="145"/>
    </row>
    <row r="71" spans="1:14" x14ac:dyDescent="0.4">
      <c r="B71" s="148"/>
      <c r="C71" s="149"/>
      <c r="D71" s="90"/>
      <c r="E71" s="90"/>
      <c r="F71" s="91"/>
      <c r="G71" s="91"/>
      <c r="H71" s="150"/>
      <c r="I71" s="150"/>
      <c r="J71" s="150"/>
      <c r="K71" s="150"/>
      <c r="L71" s="150"/>
      <c r="M71" s="91"/>
      <c r="N71" s="149"/>
    </row>
    <row r="73" spans="1:14" x14ac:dyDescent="0.4">
      <c r="H73" s="151" t="s">
        <v>61</v>
      </c>
    </row>
    <row r="74" spans="1:14" x14ac:dyDescent="0.4">
      <c r="H74" s="113" t="s">
        <v>39</v>
      </c>
      <c r="I74" s="113" t="s">
        <v>29</v>
      </c>
      <c r="J74" s="152" t="s">
        <v>69</v>
      </c>
    </row>
    <row r="75" spans="1:14" x14ac:dyDescent="0.4">
      <c r="H75" s="113" t="s">
        <v>40</v>
      </c>
      <c r="I75" s="113" t="s">
        <v>29</v>
      </c>
      <c r="J75" s="152" t="s">
        <v>70</v>
      </c>
    </row>
    <row r="76" spans="1:14" x14ac:dyDescent="0.4">
      <c r="H76" s="113" t="s">
        <v>41</v>
      </c>
      <c r="I76" s="113" t="s">
        <v>29</v>
      </c>
      <c r="J76" s="152" t="s">
        <v>71</v>
      </c>
    </row>
    <row r="77" spans="1:14" x14ac:dyDescent="0.4">
      <c r="H77" s="113" t="s">
        <v>42</v>
      </c>
      <c r="I77" s="113" t="s">
        <v>29</v>
      </c>
      <c r="J77" s="152" t="s">
        <v>72</v>
      </c>
    </row>
    <row r="78" spans="1:14" x14ac:dyDescent="0.4">
      <c r="H78" s="113" t="s">
        <v>43</v>
      </c>
      <c r="I78" s="113" t="s">
        <v>29</v>
      </c>
      <c r="J78" s="152" t="s">
        <v>73</v>
      </c>
    </row>
  </sheetData>
  <mergeCells count="8"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C42C-393D-4613-A221-ACD21C87A8E1}">
  <sheetPr>
    <tabColor rgb="FF92D050"/>
  </sheetPr>
  <dimension ref="A1:N78"/>
  <sheetViews>
    <sheetView zoomScaleNormal="100" workbookViewId="0">
      <pane xSplit="1" ySplit="14" topLeftCell="B15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C13" sqref="C13:C14"/>
    </sheetView>
  </sheetViews>
  <sheetFormatPr defaultColWidth="9" defaultRowHeight="14.6" outlineLevelRow="1" x14ac:dyDescent="0.4"/>
  <cols>
    <col min="1" max="1" width="17.69140625" style="112" customWidth="1"/>
    <col min="2" max="2" width="4.3828125" style="111" customWidth="1"/>
    <col min="3" max="3" width="40.15234375" style="112" customWidth="1"/>
    <col min="4" max="4" width="9" style="80"/>
    <col min="5" max="5" width="1.69140625" style="80" customWidth="1"/>
    <col min="6" max="7" width="9" style="81"/>
    <col min="8" max="12" width="9" style="113"/>
    <col min="13" max="13" width="9" style="81"/>
    <col min="14" max="14" width="16.84375" style="112" customWidth="1"/>
    <col min="15" max="16384" width="9" style="112"/>
  </cols>
  <sheetData>
    <row r="1" spans="1:14" x14ac:dyDescent="0.4">
      <c r="A1" s="110" t="s">
        <v>125</v>
      </c>
    </row>
    <row r="2" spans="1:14" x14ac:dyDescent="0.4">
      <c r="A2" s="110" t="s">
        <v>0</v>
      </c>
    </row>
    <row r="5" spans="1:14" x14ac:dyDescent="0.4">
      <c r="A5" s="110" t="s">
        <v>1</v>
      </c>
      <c r="B5" s="111" t="s">
        <v>29</v>
      </c>
      <c r="C5" s="110" t="s">
        <v>146</v>
      </c>
    </row>
    <row r="6" spans="1:14" x14ac:dyDescent="0.4">
      <c r="A6" s="110" t="s">
        <v>20</v>
      </c>
      <c r="B6" s="111" t="s">
        <v>29</v>
      </c>
      <c r="C6" s="112" t="s">
        <v>31</v>
      </c>
    </row>
    <row r="7" spans="1:14" x14ac:dyDescent="0.4">
      <c r="A7" s="110" t="s">
        <v>32</v>
      </c>
      <c r="B7" s="111" t="s">
        <v>29</v>
      </c>
      <c r="C7" s="112" t="s">
        <v>33</v>
      </c>
    </row>
    <row r="8" spans="1:14" x14ac:dyDescent="0.4">
      <c r="A8" s="110" t="s">
        <v>34</v>
      </c>
      <c r="B8" s="111" t="s">
        <v>29</v>
      </c>
      <c r="C8" s="112" t="s">
        <v>35</v>
      </c>
    </row>
    <row r="9" spans="1:14" x14ac:dyDescent="0.4">
      <c r="A9" s="110" t="s">
        <v>28</v>
      </c>
      <c r="B9" s="111" t="s">
        <v>29</v>
      </c>
    </row>
    <row r="10" spans="1:14" x14ac:dyDescent="0.4">
      <c r="A10" s="110" t="s">
        <v>38</v>
      </c>
      <c r="B10" s="111" t="s">
        <v>29</v>
      </c>
      <c r="C10" s="110" t="s">
        <v>141</v>
      </c>
      <c r="D10" s="114" t="s">
        <v>92</v>
      </c>
    </row>
    <row r="11" spans="1:14" x14ac:dyDescent="0.4">
      <c r="A11" s="110" t="s">
        <v>67</v>
      </c>
      <c r="B11" s="111" t="s">
        <v>29</v>
      </c>
      <c r="C11" s="115">
        <f>M16</f>
        <v>81.5</v>
      </c>
    </row>
    <row r="13" spans="1:14" s="110" customFormat="1" x14ac:dyDescent="0.4">
      <c r="A13" s="116" t="s">
        <v>124</v>
      </c>
      <c r="B13" s="117" t="s">
        <v>2</v>
      </c>
      <c r="C13" s="117" t="s">
        <v>3</v>
      </c>
      <c r="D13" s="118" t="s">
        <v>19</v>
      </c>
      <c r="E13" s="119"/>
      <c r="F13" s="120" t="s">
        <v>18</v>
      </c>
      <c r="G13" s="120"/>
      <c r="H13" s="117" t="s">
        <v>37</v>
      </c>
      <c r="I13" s="117"/>
      <c r="J13" s="117"/>
      <c r="K13" s="117"/>
      <c r="L13" s="117"/>
      <c r="M13" s="120" t="s">
        <v>17</v>
      </c>
      <c r="N13" s="121" t="s">
        <v>61</v>
      </c>
    </row>
    <row r="14" spans="1:14" s="110" customFormat="1" x14ac:dyDescent="0.4">
      <c r="A14" s="116"/>
      <c r="B14" s="117"/>
      <c r="C14" s="122"/>
      <c r="D14" s="82"/>
      <c r="E14" s="83"/>
      <c r="F14" s="123" t="s">
        <v>14</v>
      </c>
      <c r="G14" s="123" t="s">
        <v>15</v>
      </c>
      <c r="H14" s="124" t="s">
        <v>39</v>
      </c>
      <c r="I14" s="124" t="s">
        <v>40</v>
      </c>
      <c r="J14" s="124" t="s">
        <v>41</v>
      </c>
      <c r="K14" s="124" t="s">
        <v>42</v>
      </c>
      <c r="L14" s="124" t="s">
        <v>43</v>
      </c>
      <c r="M14" s="120"/>
      <c r="N14" s="121"/>
    </row>
    <row r="15" spans="1:14" s="110" customFormat="1" x14ac:dyDescent="0.4">
      <c r="B15" s="125"/>
      <c r="C15" s="125"/>
      <c r="D15" s="125"/>
      <c r="E15" s="84"/>
      <c r="F15" s="126"/>
      <c r="G15" s="126"/>
      <c r="H15" s="127">
        <v>0.2</v>
      </c>
      <c r="I15" s="127">
        <v>0.4</v>
      </c>
      <c r="J15" s="127">
        <v>0.6</v>
      </c>
      <c r="K15" s="127">
        <v>0.8</v>
      </c>
      <c r="L15" s="127">
        <v>1</v>
      </c>
      <c r="M15" s="126"/>
      <c r="N15" s="128"/>
    </row>
    <row r="16" spans="1:14" s="110" customFormat="1" x14ac:dyDescent="0.4">
      <c r="A16" s="129"/>
      <c r="B16" s="130"/>
      <c r="C16" s="131" t="s">
        <v>65</v>
      </c>
      <c r="D16" s="130"/>
      <c r="E16" s="130"/>
      <c r="F16" s="132"/>
      <c r="G16" s="132"/>
      <c r="H16" s="130"/>
      <c r="I16" s="130"/>
      <c r="J16" s="130"/>
      <c r="K16" s="130"/>
      <c r="L16" s="130"/>
      <c r="M16" s="133">
        <f>M17+M21+M27+M43+M60+M65+M69</f>
        <v>81.5</v>
      </c>
      <c r="N16" s="134"/>
    </row>
    <row r="17" spans="1:14" x14ac:dyDescent="0.4">
      <c r="B17" s="135" t="s">
        <v>66</v>
      </c>
      <c r="C17" s="136" t="s">
        <v>8</v>
      </c>
      <c r="D17" s="137">
        <f>SUM(D18:D19)</f>
        <v>0.1</v>
      </c>
      <c r="E17" s="137"/>
      <c r="F17" s="138"/>
      <c r="G17" s="138"/>
      <c r="H17" s="139"/>
      <c r="I17" s="139"/>
      <c r="J17" s="139"/>
      <c r="K17" s="139"/>
      <c r="L17" s="139"/>
      <c r="M17" s="138">
        <f>SUM(M18:M20)</f>
        <v>6</v>
      </c>
      <c r="N17" s="140"/>
    </row>
    <row r="18" spans="1:14" x14ac:dyDescent="0.4">
      <c r="A18" s="141" t="s">
        <v>102</v>
      </c>
      <c r="B18" s="142">
        <v>1</v>
      </c>
      <c r="C18" s="143" t="str">
        <f>VLOOKUP($A18,[1]PERTANYAAN!$A$18:$E$71,3,0)</f>
        <v>Pengalaman di dalam Daniswara Group</v>
      </c>
      <c r="D18" s="85">
        <f>VLOOKUP($A18,[1]PERTANYAAN!$A$18:$E$71,5,0)</f>
        <v>0.06</v>
      </c>
      <c r="E18" s="86"/>
      <c r="F18" s="87" t="s">
        <v>16</v>
      </c>
      <c r="G18" s="87"/>
      <c r="H18" s="144"/>
      <c r="I18" s="144"/>
      <c r="J18" s="144"/>
      <c r="K18" s="144"/>
      <c r="L18" s="144"/>
      <c r="M18" s="87">
        <f t="shared" ref="M18:M25" si="0">IF(F18="V",D18*100,0)</f>
        <v>6</v>
      </c>
      <c r="N18" s="145"/>
    </row>
    <row r="19" spans="1:14" x14ac:dyDescent="0.4">
      <c r="A19" s="141" t="s">
        <v>103</v>
      </c>
      <c r="B19" s="142">
        <f t="shared" ref="B19:B25" si="1">B18+1</f>
        <v>2</v>
      </c>
      <c r="C19" s="143" t="str">
        <f>VLOOKUP($A19,[1]PERTANYAAN!$A$18:$E$71,3,0)</f>
        <v>Pengalaman di luar Daniswara Group</v>
      </c>
      <c r="D19" s="85">
        <f>VLOOKUP($A19,[1]PERTANYAAN!$A$18:$E$71,5,0)</f>
        <v>0.04</v>
      </c>
      <c r="E19" s="86"/>
      <c r="F19" s="87"/>
      <c r="G19" s="87"/>
      <c r="H19" s="144"/>
      <c r="I19" s="144"/>
      <c r="J19" s="144"/>
      <c r="K19" s="144"/>
      <c r="L19" s="144"/>
      <c r="M19" s="87">
        <f t="shared" si="0"/>
        <v>0</v>
      </c>
      <c r="N19" s="145"/>
    </row>
    <row r="20" spans="1:14" x14ac:dyDescent="0.4">
      <c r="A20" s="111"/>
      <c r="B20" s="142"/>
      <c r="C20" s="145"/>
      <c r="D20" s="86"/>
      <c r="E20" s="86"/>
      <c r="F20" s="87"/>
      <c r="G20" s="87"/>
      <c r="H20" s="144"/>
      <c r="I20" s="144"/>
      <c r="J20" s="144"/>
      <c r="K20" s="144"/>
      <c r="L20" s="144"/>
      <c r="M20" s="87"/>
      <c r="N20" s="145"/>
    </row>
    <row r="21" spans="1:14" x14ac:dyDescent="0.4">
      <c r="A21" s="111"/>
      <c r="B21" s="135" t="s">
        <v>42</v>
      </c>
      <c r="C21" s="136" t="s">
        <v>9</v>
      </c>
      <c r="D21" s="137">
        <f>SUM(D22:D25)</f>
        <v>0.05</v>
      </c>
      <c r="E21" s="137"/>
      <c r="F21" s="138"/>
      <c r="G21" s="138"/>
      <c r="H21" s="139"/>
      <c r="I21" s="139"/>
      <c r="J21" s="139"/>
      <c r="K21" s="139"/>
      <c r="L21" s="139"/>
      <c r="M21" s="138">
        <f>SUM(M22:M25)</f>
        <v>3</v>
      </c>
      <c r="N21" s="140"/>
    </row>
    <row r="22" spans="1:14" x14ac:dyDescent="0.4">
      <c r="A22" s="141" t="s">
        <v>104</v>
      </c>
      <c r="B22" s="142">
        <v>1</v>
      </c>
      <c r="C22" s="143" t="str">
        <f>VLOOKUP($A22,[1]PERTANYAAN!$A$18:$E$71,3,0)</f>
        <v>Identitas (KTP &amp; KK)</v>
      </c>
      <c r="D22" s="85">
        <f>VLOOKUP($A22,[1]PERTANYAAN!$A$18:$E$71,5,0)</f>
        <v>0.01</v>
      </c>
      <c r="E22" s="86"/>
      <c r="F22" s="87" t="s">
        <v>16</v>
      </c>
      <c r="G22" s="87"/>
      <c r="H22" s="144"/>
      <c r="I22" s="144"/>
      <c r="J22" s="144"/>
      <c r="K22" s="144"/>
      <c r="L22" s="144"/>
      <c r="M22" s="87">
        <f t="shared" si="0"/>
        <v>1</v>
      </c>
      <c r="N22" s="145"/>
    </row>
    <row r="23" spans="1:14" x14ac:dyDescent="0.4">
      <c r="A23" s="141" t="s">
        <v>105</v>
      </c>
      <c r="B23" s="142">
        <f t="shared" si="1"/>
        <v>2</v>
      </c>
      <c r="C23" s="143" t="str">
        <f>VLOOKUP($A23,[1]PERTANYAAN!$A$18:$E$71,3,0)</f>
        <v>SIM A (utk jabatan di Divisi Operasi)</v>
      </c>
      <c r="D23" s="85">
        <f>VLOOKUP($A23,[1]PERTANYAAN!$A$18:$E$71,5,0)</f>
        <v>0.02</v>
      </c>
      <c r="E23" s="86"/>
      <c r="F23" s="87"/>
      <c r="G23" s="87" t="s">
        <v>16</v>
      </c>
      <c r="H23" s="144"/>
      <c r="I23" s="144"/>
      <c r="J23" s="144"/>
      <c r="K23" s="144"/>
      <c r="L23" s="144"/>
      <c r="M23" s="87">
        <f t="shared" si="0"/>
        <v>0</v>
      </c>
      <c r="N23" s="145" t="s">
        <v>165</v>
      </c>
    </row>
    <row r="24" spans="1:14" x14ac:dyDescent="0.4">
      <c r="A24" s="141" t="s">
        <v>106</v>
      </c>
      <c r="B24" s="142">
        <f t="shared" si="1"/>
        <v>3</v>
      </c>
      <c r="C24" s="143" t="str">
        <f>VLOOKUP($A24,[1]PERTANYAAN!$A$18:$E$71,3,0)</f>
        <v>SIM C</v>
      </c>
      <c r="D24" s="85">
        <f>VLOOKUP($A24,[1]PERTANYAAN!$A$18:$E$71,5,0)</f>
        <v>0.01</v>
      </c>
      <c r="E24" s="86"/>
      <c r="F24" s="87" t="s">
        <v>16</v>
      </c>
      <c r="G24" s="87"/>
      <c r="H24" s="144"/>
      <c r="I24" s="144"/>
      <c r="J24" s="144"/>
      <c r="K24" s="144"/>
      <c r="L24" s="144"/>
      <c r="M24" s="87">
        <f t="shared" si="0"/>
        <v>1</v>
      </c>
      <c r="N24" s="145"/>
    </row>
    <row r="25" spans="1:14" x14ac:dyDescent="0.4">
      <c r="A25" s="141" t="s">
        <v>107</v>
      </c>
      <c r="B25" s="142">
        <f t="shared" si="1"/>
        <v>4</v>
      </c>
      <c r="C25" s="143" t="str">
        <f>VLOOKUP($A25,[1]PERTANYAAN!$A$18:$E$71,3,0)</f>
        <v>NPWP</v>
      </c>
      <c r="D25" s="85">
        <f>VLOOKUP($A25,[1]PERTANYAAN!$A$18:$E$71,5,0)</f>
        <v>0.01</v>
      </c>
      <c r="E25" s="86"/>
      <c r="F25" s="87" t="s">
        <v>16</v>
      </c>
      <c r="G25" s="87"/>
      <c r="H25" s="144"/>
      <c r="I25" s="144"/>
      <c r="J25" s="144"/>
      <c r="K25" s="144"/>
      <c r="L25" s="144"/>
      <c r="M25" s="87">
        <f t="shared" si="0"/>
        <v>1</v>
      </c>
      <c r="N25" s="145"/>
    </row>
    <row r="26" spans="1:14" x14ac:dyDescent="0.4">
      <c r="A26" s="111"/>
      <c r="B26" s="142"/>
      <c r="C26" s="145"/>
      <c r="D26" s="86"/>
      <c r="E26" s="86"/>
      <c r="F26" s="87"/>
      <c r="G26" s="87"/>
      <c r="H26" s="144"/>
      <c r="I26" s="144"/>
      <c r="J26" s="144"/>
      <c r="K26" s="144"/>
      <c r="L26" s="144"/>
      <c r="M26" s="87"/>
      <c r="N26" s="145"/>
    </row>
    <row r="27" spans="1:14" x14ac:dyDescent="0.4">
      <c r="A27" s="111"/>
      <c r="B27" s="135" t="s">
        <v>97</v>
      </c>
      <c r="C27" s="136" t="s">
        <v>21</v>
      </c>
      <c r="D27" s="137">
        <f>D28</f>
        <v>0.35000000000000003</v>
      </c>
      <c r="E27" s="88"/>
      <c r="F27" s="89"/>
      <c r="G27" s="89"/>
      <c r="H27" s="139"/>
      <c r="I27" s="139"/>
      <c r="J27" s="139"/>
      <c r="K27" s="139"/>
      <c r="L27" s="139"/>
      <c r="M27" s="138">
        <f>M28</f>
        <v>33</v>
      </c>
      <c r="N27" s="140"/>
    </row>
    <row r="28" spans="1:14" x14ac:dyDescent="0.4">
      <c r="A28" s="141" t="s">
        <v>108</v>
      </c>
      <c r="B28" s="142">
        <v>1</v>
      </c>
      <c r="C28" s="143" t="str">
        <f>VLOOKUP($A28,[1]PERTANYAAN!$A$18:$E$71,3,0)</f>
        <v>Operasi / Logistik</v>
      </c>
      <c r="D28" s="85">
        <f>VLOOKUP($A28,[1]PERTANYAAN!$A$18:$E$71,5,0)</f>
        <v>0.35000000000000003</v>
      </c>
      <c r="E28" s="86"/>
      <c r="F28" s="87"/>
      <c r="G28" s="87"/>
      <c r="H28" s="144"/>
      <c r="I28" s="144"/>
      <c r="J28" s="144"/>
      <c r="K28" s="144"/>
      <c r="L28" s="144"/>
      <c r="M28" s="87">
        <f>SUM(M29:M33)</f>
        <v>33</v>
      </c>
      <c r="N28" s="145"/>
    </row>
    <row r="29" spans="1:14" x14ac:dyDescent="0.4">
      <c r="A29" s="141" t="s">
        <v>109</v>
      </c>
      <c r="B29" s="146" t="s">
        <v>6</v>
      </c>
      <c r="C29" s="143" t="str">
        <f>VLOOKUP($A29,[1]PERTANYAAN!$A$18:$E$71,3,0)</f>
        <v>Skill Mengemudi</v>
      </c>
      <c r="D29" s="85">
        <f>VLOOKUP($A29,[1]PERTANYAAN!$A$18:$E$71,5,0)</f>
        <v>0.15</v>
      </c>
      <c r="E29" s="86"/>
      <c r="F29" s="87"/>
      <c r="G29" s="87"/>
      <c r="H29" s="144"/>
      <c r="I29" s="144"/>
      <c r="J29" s="144"/>
      <c r="K29" s="144"/>
      <c r="L29" s="144" t="s">
        <v>16</v>
      </c>
      <c r="M29" s="87">
        <f t="shared" ref="M29:M32" si="2">IF(H29="V",$D29*H$15,IF(I29="V",$D29*I$15,IF(J29="V",$D29*J$15,IF(K29="V",$D29*K$15,IF(L29="V",$D29*L$15,0)))))*100</f>
        <v>15</v>
      </c>
      <c r="N29" s="145"/>
    </row>
    <row r="30" spans="1:14" x14ac:dyDescent="0.4">
      <c r="A30" s="141" t="s">
        <v>110</v>
      </c>
      <c r="B30" s="146" t="s">
        <v>6</v>
      </c>
      <c r="C30" s="143" t="str">
        <f>VLOOKUP($A30,[1]PERTANYAAN!$A$18:$E$71,3,0)</f>
        <v>Flow Administrasi Logistik</v>
      </c>
      <c r="D30" s="85">
        <f>VLOOKUP($A30,[1]PERTANYAAN!$A$18:$E$71,5,0)</f>
        <v>0.1</v>
      </c>
      <c r="E30" s="86"/>
      <c r="F30" s="87"/>
      <c r="G30" s="87"/>
      <c r="H30" s="144"/>
      <c r="I30" s="144"/>
      <c r="J30" s="144"/>
      <c r="K30" s="144" t="s">
        <v>16</v>
      </c>
      <c r="L30" s="144"/>
      <c r="M30" s="87">
        <f t="shared" si="2"/>
        <v>8.0000000000000018</v>
      </c>
      <c r="N30" s="145"/>
    </row>
    <row r="31" spans="1:14" x14ac:dyDescent="0.4">
      <c r="A31" s="141" t="s">
        <v>111</v>
      </c>
      <c r="B31" s="146" t="s">
        <v>6</v>
      </c>
      <c r="C31" s="143" t="str">
        <f>VLOOKUP($A31,[1]PERTANYAAN!$A$18:$E$71,3,0)</f>
        <v>Pengetahuan terkait logistik</v>
      </c>
      <c r="D31" s="85">
        <f>VLOOKUP($A31,[1]PERTANYAAN!$A$18:$E$71,5,0)</f>
        <v>2.5000000000000001E-2</v>
      </c>
      <c r="E31" s="86"/>
      <c r="F31" s="87"/>
      <c r="G31" s="87"/>
      <c r="H31" s="144"/>
      <c r="I31" s="144"/>
      <c r="J31" s="144"/>
      <c r="K31" s="144"/>
      <c r="L31" s="144" t="s">
        <v>16</v>
      </c>
      <c r="M31" s="87">
        <f t="shared" si="2"/>
        <v>2.5</v>
      </c>
      <c r="N31" s="145"/>
    </row>
    <row r="32" spans="1:14" x14ac:dyDescent="0.4">
      <c r="A32" s="141" t="s">
        <v>112</v>
      </c>
      <c r="B32" s="146" t="s">
        <v>6</v>
      </c>
      <c r="C32" s="143" t="str">
        <f>VLOOKUP($A32,[1]PERTANYAAN!$A$18:$E$71,3,0)</f>
        <v>Pengalaman di Bongkar Muat</v>
      </c>
      <c r="D32" s="85">
        <f>VLOOKUP($A32,[1]PERTANYAAN!$A$18:$E$71,5,0)</f>
        <v>7.4999999999999997E-2</v>
      </c>
      <c r="E32" s="86"/>
      <c r="F32" s="87"/>
      <c r="G32" s="87"/>
      <c r="H32" s="144"/>
      <c r="I32" s="144"/>
      <c r="J32" s="144"/>
      <c r="K32" s="144"/>
      <c r="L32" s="144" t="s">
        <v>16</v>
      </c>
      <c r="M32" s="87">
        <f t="shared" si="2"/>
        <v>7.5</v>
      </c>
      <c r="N32" s="145"/>
    </row>
    <row r="33" spans="1:14" x14ac:dyDescent="0.4">
      <c r="A33" s="111"/>
      <c r="B33" s="142"/>
      <c r="C33" s="145"/>
      <c r="D33" s="86"/>
      <c r="E33" s="86"/>
      <c r="F33" s="87"/>
      <c r="G33" s="87"/>
      <c r="H33" s="144"/>
      <c r="I33" s="144"/>
      <c r="J33" s="144"/>
      <c r="K33" s="144"/>
      <c r="L33" s="144"/>
      <c r="M33" s="87"/>
      <c r="N33" s="145"/>
    </row>
    <row r="34" spans="1:14" hidden="1" outlineLevel="1" x14ac:dyDescent="0.4">
      <c r="A34" s="111"/>
      <c r="B34" s="142">
        <f>B28+1</f>
        <v>2</v>
      </c>
      <c r="C34" s="145" t="s">
        <v>22</v>
      </c>
      <c r="D34" s="86">
        <f>SUM(D35:D37)</f>
        <v>0.35</v>
      </c>
      <c r="E34" s="86"/>
      <c r="F34" s="87"/>
      <c r="G34" s="87"/>
      <c r="H34" s="144"/>
      <c r="I34" s="144"/>
      <c r="J34" s="144"/>
      <c r="K34" s="144"/>
      <c r="L34" s="144"/>
      <c r="M34" s="87"/>
      <c r="N34" s="145"/>
    </row>
    <row r="35" spans="1:14" hidden="1" outlineLevel="1" x14ac:dyDescent="0.4">
      <c r="A35" s="111"/>
      <c r="B35" s="146" t="s">
        <v>6</v>
      </c>
      <c r="C35" s="145" t="s">
        <v>44</v>
      </c>
      <c r="D35" s="86">
        <v>0.15</v>
      </c>
      <c r="E35" s="86"/>
      <c r="F35" s="87"/>
      <c r="G35" s="87"/>
      <c r="H35" s="144"/>
      <c r="I35" s="144"/>
      <c r="J35" s="144"/>
      <c r="K35" s="144"/>
      <c r="L35" s="144"/>
      <c r="M35" s="87"/>
      <c r="N35" s="145"/>
    </row>
    <row r="36" spans="1:14" hidden="1" outlineLevel="1" x14ac:dyDescent="0.4">
      <c r="A36" s="111"/>
      <c r="B36" s="146" t="s">
        <v>6</v>
      </c>
      <c r="C36" s="145" t="s">
        <v>50</v>
      </c>
      <c r="D36" s="86">
        <v>0.2</v>
      </c>
      <c r="E36" s="86"/>
      <c r="F36" s="87"/>
      <c r="G36" s="87"/>
      <c r="H36" s="144"/>
      <c r="I36" s="144"/>
      <c r="J36" s="144"/>
      <c r="K36" s="144"/>
      <c r="L36" s="144"/>
      <c r="M36" s="87"/>
      <c r="N36" s="145"/>
    </row>
    <row r="37" spans="1:14" hidden="1" outlineLevel="1" x14ac:dyDescent="0.4">
      <c r="A37" s="111"/>
      <c r="B37" s="142"/>
      <c r="C37" s="145"/>
      <c r="D37" s="86"/>
      <c r="E37" s="86"/>
      <c r="F37" s="87"/>
      <c r="G37" s="87"/>
      <c r="H37" s="144"/>
      <c r="I37" s="144"/>
      <c r="J37" s="144"/>
      <c r="K37" s="144"/>
      <c r="L37" s="144"/>
      <c r="M37" s="87"/>
      <c r="N37" s="145"/>
    </row>
    <row r="38" spans="1:14" hidden="1" outlineLevel="1" x14ac:dyDescent="0.4">
      <c r="A38" s="111"/>
      <c r="B38" s="142">
        <v>3</v>
      </c>
      <c r="C38" s="145" t="s">
        <v>23</v>
      </c>
      <c r="D38" s="86"/>
      <c r="E38" s="86"/>
      <c r="F38" s="87"/>
      <c r="G38" s="87"/>
      <c r="H38" s="144"/>
      <c r="I38" s="144"/>
      <c r="J38" s="144"/>
      <c r="K38" s="144"/>
      <c r="L38" s="144"/>
      <c r="M38" s="87"/>
      <c r="N38" s="145"/>
    </row>
    <row r="39" spans="1:14" hidden="1" outlineLevel="1" x14ac:dyDescent="0.4">
      <c r="A39" s="111"/>
      <c r="B39" s="146" t="s">
        <v>6</v>
      </c>
      <c r="C39" s="145" t="s">
        <v>52</v>
      </c>
      <c r="D39" s="86"/>
      <c r="E39" s="86"/>
      <c r="F39" s="87"/>
      <c r="G39" s="87"/>
      <c r="H39" s="144"/>
      <c r="I39" s="144"/>
      <c r="J39" s="144"/>
      <c r="K39" s="144"/>
      <c r="L39" s="144"/>
      <c r="M39" s="87"/>
      <c r="N39" s="145"/>
    </row>
    <row r="40" spans="1:14" hidden="1" outlineLevel="1" x14ac:dyDescent="0.4">
      <c r="A40" s="111"/>
      <c r="B40" s="146" t="s">
        <v>6</v>
      </c>
      <c r="C40" s="145" t="s">
        <v>53</v>
      </c>
      <c r="D40" s="86"/>
      <c r="E40" s="86"/>
      <c r="F40" s="87"/>
      <c r="G40" s="87"/>
      <c r="H40" s="144"/>
      <c r="I40" s="144"/>
      <c r="J40" s="144"/>
      <c r="K40" s="144"/>
      <c r="L40" s="144"/>
      <c r="M40" s="87"/>
      <c r="N40" s="145"/>
    </row>
    <row r="41" spans="1:14" hidden="1" outlineLevel="1" x14ac:dyDescent="0.4">
      <c r="A41" s="111"/>
      <c r="B41" s="146" t="s">
        <v>6</v>
      </c>
      <c r="C41" s="145"/>
      <c r="D41" s="86"/>
      <c r="E41" s="86"/>
      <c r="F41" s="87"/>
      <c r="G41" s="87"/>
      <c r="H41" s="144"/>
      <c r="I41" s="144"/>
      <c r="J41" s="144"/>
      <c r="K41" s="144"/>
      <c r="L41" s="144"/>
      <c r="M41" s="87"/>
      <c r="N41" s="145"/>
    </row>
    <row r="42" spans="1:14" hidden="1" outlineLevel="1" x14ac:dyDescent="0.4">
      <c r="A42" s="111"/>
      <c r="B42" s="142"/>
      <c r="C42" s="145"/>
      <c r="D42" s="86"/>
      <c r="E42" s="86"/>
      <c r="F42" s="87"/>
      <c r="G42" s="87"/>
      <c r="H42" s="144"/>
      <c r="I42" s="144"/>
      <c r="J42" s="144"/>
      <c r="K42" s="144"/>
      <c r="L42" s="144"/>
      <c r="M42" s="87"/>
      <c r="N42" s="145"/>
    </row>
    <row r="43" spans="1:14" s="110" customFormat="1" collapsed="1" x14ac:dyDescent="0.4">
      <c r="A43" s="129"/>
      <c r="B43" s="135" t="s">
        <v>98</v>
      </c>
      <c r="C43" s="136" t="s">
        <v>24</v>
      </c>
      <c r="D43" s="137">
        <f>D44</f>
        <v>0.25</v>
      </c>
      <c r="E43" s="137"/>
      <c r="F43" s="138"/>
      <c r="G43" s="138"/>
      <c r="H43" s="147"/>
      <c r="I43" s="147"/>
      <c r="J43" s="147"/>
      <c r="K43" s="147"/>
      <c r="L43" s="147"/>
      <c r="M43" s="138">
        <f>M44</f>
        <v>21.000000000000004</v>
      </c>
      <c r="N43" s="136"/>
    </row>
    <row r="44" spans="1:14" x14ac:dyDescent="0.4">
      <c r="A44" s="111" t="s">
        <v>113</v>
      </c>
      <c r="B44" s="142">
        <v>1</v>
      </c>
      <c r="C44" s="143" t="str">
        <f>VLOOKUP($A44,[1]PERTANYAAN!$A$18:$E$71,3,0)</f>
        <v>Staff</v>
      </c>
      <c r="D44" s="85">
        <f>VLOOKUP($A44,[1]PERTANYAAN!$A$18:$E$71,5,0)</f>
        <v>0.25</v>
      </c>
      <c r="E44" s="86"/>
      <c r="F44" s="87"/>
      <c r="G44" s="87"/>
      <c r="H44" s="144"/>
      <c r="I44" s="144"/>
      <c r="J44" s="144"/>
      <c r="K44" s="144"/>
      <c r="L44" s="144"/>
      <c r="M44" s="87">
        <f>SUM(M45:M48)</f>
        <v>21.000000000000004</v>
      </c>
      <c r="N44" s="145"/>
    </row>
    <row r="45" spans="1:14" x14ac:dyDescent="0.4">
      <c r="A45" s="141" t="s">
        <v>114</v>
      </c>
      <c r="B45" s="146" t="s">
        <v>6</v>
      </c>
      <c r="C45" s="143" t="str">
        <f>VLOOKUP($A45,[1]PERTANYAAN!$A$18:$E$71,3,0)</f>
        <v>Kepemimpinan</v>
      </c>
      <c r="D45" s="85">
        <f>VLOOKUP($A45,[1]PERTANYAAN!$A$18:$E$71,5,0)</f>
        <v>2.5000000000000001E-2</v>
      </c>
      <c r="E45" s="86"/>
      <c r="F45" s="87"/>
      <c r="G45" s="87"/>
      <c r="H45" s="144"/>
      <c r="I45" s="144"/>
      <c r="J45" s="144" t="s">
        <v>16</v>
      </c>
      <c r="K45" s="144"/>
      <c r="L45" s="144"/>
      <c r="M45" s="87">
        <f t="shared" ref="M45:M48" si="3">IF(H45="V",$D45*H$15,IF(I45="V",$D45*I$15,IF(J45="V",$D45*J$15,IF(K45="V",$D45*K$15,IF(L45="V",$D45*L$15,0)))))*100</f>
        <v>1.5</v>
      </c>
      <c r="N45" s="145"/>
    </row>
    <row r="46" spans="1:14" x14ac:dyDescent="0.4">
      <c r="A46" s="141" t="s">
        <v>115</v>
      </c>
      <c r="B46" s="146" t="s">
        <v>6</v>
      </c>
      <c r="C46" s="143" t="str">
        <f>VLOOKUP($A46,[1]PERTANYAAN!$A$18:$E$71,3,0)</f>
        <v>Komunikasi</v>
      </c>
      <c r="D46" s="85">
        <f>VLOOKUP($A46,[1]PERTANYAAN!$A$18:$E$71,5,0)</f>
        <v>0.1</v>
      </c>
      <c r="E46" s="86"/>
      <c r="F46" s="87"/>
      <c r="G46" s="87"/>
      <c r="H46" s="144"/>
      <c r="I46" s="144"/>
      <c r="J46" s="144"/>
      <c r="K46" s="144" t="s">
        <v>16</v>
      </c>
      <c r="L46" s="144"/>
      <c r="M46" s="87">
        <f t="shared" si="3"/>
        <v>8.0000000000000018</v>
      </c>
      <c r="N46" s="145"/>
    </row>
    <row r="47" spans="1:14" x14ac:dyDescent="0.4">
      <c r="A47" s="141" t="s">
        <v>116</v>
      </c>
      <c r="B47" s="146" t="s">
        <v>6</v>
      </c>
      <c r="C47" s="143" t="str">
        <f>VLOOKUP($A47,[1]PERTANYAAN!$A$18:$E$71,3,0)</f>
        <v>Patuh pada Peraturan / Commitment</v>
      </c>
      <c r="D47" s="85">
        <f>VLOOKUP($A47,[1]PERTANYAAN!$A$18:$E$71,5,0)</f>
        <v>0.05</v>
      </c>
      <c r="E47" s="86"/>
      <c r="F47" s="87"/>
      <c r="G47" s="87"/>
      <c r="H47" s="144"/>
      <c r="I47" s="144"/>
      <c r="J47" s="144"/>
      <c r="K47" s="144" t="s">
        <v>16</v>
      </c>
      <c r="L47" s="144"/>
      <c r="M47" s="87">
        <f t="shared" si="3"/>
        <v>4.0000000000000009</v>
      </c>
      <c r="N47" s="145"/>
    </row>
    <row r="48" spans="1:14" x14ac:dyDescent="0.4">
      <c r="A48" s="141" t="s">
        <v>117</v>
      </c>
      <c r="B48" s="146" t="s">
        <v>6</v>
      </c>
      <c r="C48" s="143" t="str">
        <f>VLOOKUP($A48,[1]PERTANYAAN!$A$18:$E$71,3,0)</f>
        <v>Determinasi thd tekanan</v>
      </c>
      <c r="D48" s="85">
        <f>VLOOKUP($A48,[1]PERTANYAAN!$A$18:$E$71,5,0)</f>
        <v>7.4999999999999997E-2</v>
      </c>
      <c r="E48" s="86"/>
      <c r="F48" s="87"/>
      <c r="G48" s="87"/>
      <c r="H48" s="144"/>
      <c r="I48" s="144"/>
      <c r="J48" s="144"/>
      <c r="K48" s="144"/>
      <c r="L48" s="144" t="s">
        <v>16</v>
      </c>
      <c r="M48" s="87">
        <f t="shared" si="3"/>
        <v>7.5</v>
      </c>
      <c r="N48" s="145"/>
    </row>
    <row r="49" spans="1:14" x14ac:dyDescent="0.4">
      <c r="A49" s="111"/>
      <c r="B49" s="142"/>
      <c r="C49" s="145"/>
      <c r="D49" s="86"/>
      <c r="E49" s="86"/>
      <c r="F49" s="87"/>
      <c r="G49" s="87"/>
      <c r="H49" s="144"/>
      <c r="I49" s="144"/>
      <c r="J49" s="144"/>
      <c r="K49" s="144"/>
      <c r="L49" s="144"/>
      <c r="M49" s="87"/>
      <c r="N49" s="145"/>
    </row>
    <row r="50" spans="1:14" hidden="1" outlineLevel="1" x14ac:dyDescent="0.4">
      <c r="A50" s="111"/>
      <c r="B50" s="142">
        <v>2</v>
      </c>
      <c r="C50" s="145" t="s">
        <v>26</v>
      </c>
      <c r="D50" s="86"/>
      <c r="E50" s="86"/>
      <c r="F50" s="87"/>
      <c r="G50" s="87"/>
      <c r="H50" s="144"/>
      <c r="I50" s="144"/>
      <c r="J50" s="144"/>
      <c r="K50" s="144"/>
      <c r="L50" s="144"/>
      <c r="M50" s="87"/>
      <c r="N50" s="145"/>
    </row>
    <row r="51" spans="1:14" hidden="1" outlineLevel="1" x14ac:dyDescent="0.4">
      <c r="A51" s="111"/>
      <c r="B51" s="146" t="s">
        <v>6</v>
      </c>
      <c r="C51" s="145" t="s">
        <v>54</v>
      </c>
      <c r="D51" s="86"/>
      <c r="E51" s="86"/>
      <c r="F51" s="87"/>
      <c r="G51" s="87"/>
      <c r="H51" s="144"/>
      <c r="I51" s="144"/>
      <c r="J51" s="144"/>
      <c r="K51" s="144"/>
      <c r="L51" s="144"/>
      <c r="M51" s="87"/>
      <c r="N51" s="145"/>
    </row>
    <row r="52" spans="1:14" hidden="1" outlineLevel="1" x14ac:dyDescent="0.4">
      <c r="A52" s="111"/>
      <c r="B52" s="146" t="s">
        <v>6</v>
      </c>
      <c r="C52" s="145" t="s">
        <v>55</v>
      </c>
      <c r="D52" s="86"/>
      <c r="E52" s="86"/>
      <c r="F52" s="87"/>
      <c r="G52" s="87"/>
      <c r="H52" s="144"/>
      <c r="I52" s="144"/>
      <c r="J52" s="144"/>
      <c r="K52" s="144"/>
      <c r="L52" s="144"/>
      <c r="M52" s="87"/>
      <c r="N52" s="145"/>
    </row>
    <row r="53" spans="1:14" hidden="1" outlineLevel="1" x14ac:dyDescent="0.4">
      <c r="A53" s="111"/>
      <c r="B53" s="146" t="s">
        <v>6</v>
      </c>
      <c r="C53" s="145" t="s">
        <v>56</v>
      </c>
      <c r="D53" s="86"/>
      <c r="E53" s="86"/>
      <c r="F53" s="87"/>
      <c r="G53" s="87"/>
      <c r="H53" s="144"/>
      <c r="I53" s="144"/>
      <c r="J53" s="144"/>
      <c r="K53" s="144"/>
      <c r="L53" s="144"/>
      <c r="M53" s="87"/>
      <c r="N53" s="145"/>
    </row>
    <row r="54" spans="1:14" hidden="1" outlineLevel="1" x14ac:dyDescent="0.4">
      <c r="A54" s="111"/>
      <c r="B54" s="142"/>
      <c r="C54" s="145"/>
      <c r="D54" s="86"/>
      <c r="E54" s="86"/>
      <c r="F54" s="87"/>
      <c r="G54" s="87"/>
      <c r="H54" s="144"/>
      <c r="I54" s="144"/>
      <c r="J54" s="144"/>
      <c r="K54" s="144"/>
      <c r="L54" s="144"/>
      <c r="M54" s="87"/>
      <c r="N54" s="145"/>
    </row>
    <row r="55" spans="1:14" hidden="1" outlineLevel="1" x14ac:dyDescent="0.4">
      <c r="A55" s="111"/>
      <c r="B55" s="142">
        <v>3</v>
      </c>
      <c r="C55" s="145" t="s">
        <v>27</v>
      </c>
      <c r="D55" s="86"/>
      <c r="E55" s="86"/>
      <c r="F55" s="87"/>
      <c r="G55" s="87"/>
      <c r="H55" s="144"/>
      <c r="I55" s="144"/>
      <c r="J55" s="144"/>
      <c r="K55" s="144"/>
      <c r="L55" s="144"/>
      <c r="M55" s="87"/>
      <c r="N55" s="145"/>
    </row>
    <row r="56" spans="1:14" hidden="1" outlineLevel="1" x14ac:dyDescent="0.4">
      <c r="A56" s="111"/>
      <c r="B56" s="146" t="s">
        <v>6</v>
      </c>
      <c r="C56" s="145" t="s">
        <v>54</v>
      </c>
      <c r="D56" s="86"/>
      <c r="E56" s="86"/>
      <c r="F56" s="87"/>
      <c r="G56" s="87"/>
      <c r="H56" s="144"/>
      <c r="I56" s="144"/>
      <c r="J56" s="144"/>
      <c r="K56" s="144"/>
      <c r="L56" s="144"/>
      <c r="M56" s="87"/>
      <c r="N56" s="145"/>
    </row>
    <row r="57" spans="1:14" hidden="1" outlineLevel="1" x14ac:dyDescent="0.4">
      <c r="A57" s="111"/>
      <c r="B57" s="146" t="s">
        <v>6</v>
      </c>
      <c r="C57" s="145" t="s">
        <v>56</v>
      </c>
      <c r="D57" s="86"/>
      <c r="E57" s="86"/>
      <c r="F57" s="87"/>
      <c r="G57" s="87"/>
      <c r="H57" s="144"/>
      <c r="I57" s="144"/>
      <c r="J57" s="144"/>
      <c r="K57" s="144"/>
      <c r="L57" s="144"/>
      <c r="M57" s="87"/>
      <c r="N57" s="145"/>
    </row>
    <row r="58" spans="1:14" hidden="1" outlineLevel="1" x14ac:dyDescent="0.4">
      <c r="A58" s="111"/>
      <c r="B58" s="146" t="s">
        <v>6</v>
      </c>
      <c r="C58" s="145" t="s">
        <v>57</v>
      </c>
      <c r="D58" s="86"/>
      <c r="E58" s="86"/>
      <c r="F58" s="87"/>
      <c r="G58" s="87"/>
      <c r="H58" s="144"/>
      <c r="I58" s="144"/>
      <c r="J58" s="144"/>
      <c r="K58" s="144"/>
      <c r="L58" s="144"/>
      <c r="M58" s="87"/>
      <c r="N58" s="145"/>
    </row>
    <row r="59" spans="1:14" hidden="1" outlineLevel="1" x14ac:dyDescent="0.4">
      <c r="A59" s="111"/>
      <c r="B59" s="142"/>
      <c r="C59" s="145"/>
      <c r="D59" s="86"/>
      <c r="E59" s="86"/>
      <c r="F59" s="87"/>
      <c r="G59" s="87"/>
      <c r="H59" s="144"/>
      <c r="I59" s="144"/>
      <c r="J59" s="144"/>
      <c r="K59" s="144"/>
      <c r="L59" s="144"/>
      <c r="M59" s="87"/>
      <c r="N59" s="145"/>
    </row>
    <row r="60" spans="1:14" s="110" customFormat="1" collapsed="1" x14ac:dyDescent="0.4">
      <c r="A60" s="129"/>
      <c r="B60" s="135" t="s">
        <v>99</v>
      </c>
      <c r="C60" s="136" t="s">
        <v>46</v>
      </c>
      <c r="D60" s="137">
        <f>SUM(D61:D64)</f>
        <v>0.15</v>
      </c>
      <c r="E60" s="137"/>
      <c r="F60" s="138"/>
      <c r="G60" s="138"/>
      <c r="H60" s="147"/>
      <c r="I60" s="147"/>
      <c r="J60" s="147"/>
      <c r="K60" s="147"/>
      <c r="L60" s="147"/>
      <c r="M60" s="138">
        <f>SUM(M61:M64)</f>
        <v>10.5</v>
      </c>
      <c r="N60" s="136"/>
    </row>
    <row r="61" spans="1:14" x14ac:dyDescent="0.4">
      <c r="A61" s="141" t="s">
        <v>118</v>
      </c>
      <c r="B61" s="146" t="s">
        <v>6</v>
      </c>
      <c r="C61" s="143" t="str">
        <f>VLOOKUP($A61,[1]PERTANYAAN!$A$18:$E$71,3,0)</f>
        <v>Antusiasme / Keinginan bergabung</v>
      </c>
      <c r="D61" s="85">
        <f>VLOOKUP($A61,[1]PERTANYAAN!$A$18:$E$71,5,0)</f>
        <v>7.4999999999999997E-2</v>
      </c>
      <c r="E61" s="86"/>
      <c r="F61" s="87"/>
      <c r="G61" s="87"/>
      <c r="H61" s="144"/>
      <c r="I61" s="144"/>
      <c r="J61" s="144" t="s">
        <v>16</v>
      </c>
      <c r="K61" s="144"/>
      <c r="L61" s="144"/>
      <c r="M61" s="87">
        <f t="shared" ref="M61:M63" si="4">IF(H61="V",$D61*H$15,IF(I61="V",$D61*I$15,IF(J61="V",$D61*J$15,IF(K61="V",$D61*K$15,IF(L61="V",$D61*L$15,0)))))*100</f>
        <v>4.5</v>
      </c>
      <c r="N61" s="145"/>
    </row>
    <row r="62" spans="1:14" x14ac:dyDescent="0.4">
      <c r="A62" s="141" t="s">
        <v>119</v>
      </c>
      <c r="B62" s="146" t="s">
        <v>6</v>
      </c>
      <c r="C62" s="143" t="str">
        <f>VLOOKUP($A62,[1]PERTANYAAN!$A$18:$E$71,3,0)</f>
        <v>Inisiatif</v>
      </c>
      <c r="D62" s="85">
        <f>VLOOKUP($A62,[1]PERTANYAAN!$A$18:$E$71,5,0)</f>
        <v>0.05</v>
      </c>
      <c r="E62" s="86"/>
      <c r="F62" s="87"/>
      <c r="G62" s="87"/>
      <c r="H62" s="144"/>
      <c r="I62" s="144"/>
      <c r="J62" s="144"/>
      <c r="K62" s="144" t="s">
        <v>16</v>
      </c>
      <c r="L62" s="144"/>
      <c r="M62" s="87">
        <f t="shared" si="4"/>
        <v>4.0000000000000009</v>
      </c>
      <c r="N62" s="145"/>
    </row>
    <row r="63" spans="1:14" x14ac:dyDescent="0.4">
      <c r="A63" s="141" t="s">
        <v>120</v>
      </c>
      <c r="B63" s="146" t="s">
        <v>6</v>
      </c>
      <c r="C63" s="143" t="str">
        <f>VLOOKUP($A63,[1]PERTANYAAN!$A$18:$E$71,3,0)</f>
        <v>Adaptif</v>
      </c>
      <c r="D63" s="85">
        <f>VLOOKUP($A63,[1]PERTANYAAN!$A$18:$E$71,5,0)</f>
        <v>2.5000000000000001E-2</v>
      </c>
      <c r="E63" s="86"/>
      <c r="F63" s="87"/>
      <c r="G63" s="87"/>
      <c r="H63" s="144"/>
      <c r="I63" s="144"/>
      <c r="J63" s="144"/>
      <c r="K63" s="144" t="s">
        <v>16</v>
      </c>
      <c r="L63" s="144"/>
      <c r="M63" s="87">
        <f t="shared" si="4"/>
        <v>2.0000000000000004</v>
      </c>
      <c r="N63" s="145"/>
    </row>
    <row r="64" spans="1:14" x14ac:dyDescent="0.4">
      <c r="A64" s="111"/>
      <c r="B64" s="142"/>
      <c r="C64" s="145"/>
      <c r="D64" s="86"/>
      <c r="E64" s="86"/>
      <c r="F64" s="87"/>
      <c r="G64" s="87"/>
      <c r="H64" s="144"/>
      <c r="I64" s="144"/>
      <c r="J64" s="144"/>
      <c r="K64" s="144"/>
      <c r="L64" s="144"/>
      <c r="M64" s="87"/>
      <c r="N64" s="145"/>
    </row>
    <row r="65" spans="1:14" s="110" customFormat="1" x14ac:dyDescent="0.4">
      <c r="A65" s="129"/>
      <c r="B65" s="135" t="s">
        <v>100</v>
      </c>
      <c r="C65" s="136" t="s">
        <v>48</v>
      </c>
      <c r="D65" s="137">
        <f>SUM(D66:D68)</f>
        <v>0.05</v>
      </c>
      <c r="E65" s="137"/>
      <c r="F65" s="138"/>
      <c r="G65" s="138"/>
      <c r="H65" s="147"/>
      <c r="I65" s="147"/>
      <c r="J65" s="147"/>
      <c r="K65" s="147"/>
      <c r="L65" s="147"/>
      <c r="M65" s="138">
        <f>SUM(M66:M68)</f>
        <v>4</v>
      </c>
      <c r="N65" s="136"/>
    </row>
    <row r="66" spans="1:14" x14ac:dyDescent="0.4">
      <c r="A66" s="141" t="s">
        <v>121</v>
      </c>
      <c r="B66" s="146" t="s">
        <v>6</v>
      </c>
      <c r="C66" s="143" t="str">
        <f>VLOOKUP($A66,[1]PERTANYAAN!$A$18:$E$71,3,0)</f>
        <v>Ekspektasi Salary (Mengukur Budget &amp; Skill)</v>
      </c>
      <c r="D66" s="85">
        <f>VLOOKUP($A66,[1]PERTANYAAN!$A$18:$E$71,5,0)</f>
        <v>0.04</v>
      </c>
      <c r="E66" s="86"/>
      <c r="F66" s="87"/>
      <c r="G66" s="87"/>
      <c r="H66" s="144"/>
      <c r="I66" s="144"/>
      <c r="J66" s="144"/>
      <c r="K66" s="144" t="s">
        <v>16</v>
      </c>
      <c r="L66" s="144"/>
      <c r="M66" s="87">
        <f t="shared" ref="M66:M70" si="5">IF(H66="V",$D66*H$15,IF(I66="V",$D66*I$15,IF(J66="V",$D66*J$15,IF(K66="V",$D66*K$15,IF(L66="V",$D66*L$15,0)))))*100</f>
        <v>3.2</v>
      </c>
      <c r="N66" s="145"/>
    </row>
    <row r="67" spans="1:14" x14ac:dyDescent="0.4">
      <c r="A67" s="141" t="s">
        <v>122</v>
      </c>
      <c r="B67" s="146" t="s">
        <v>6</v>
      </c>
      <c r="C67" s="143" t="str">
        <f>VLOOKUP($A67,[1]PERTANYAAN!$A$18:$E$71,3,0)</f>
        <v>Tujuan Karir</v>
      </c>
      <c r="D67" s="85">
        <f>VLOOKUP($A67,[1]PERTANYAAN!$A$18:$E$71,5,0)</f>
        <v>0.01</v>
      </c>
      <c r="E67" s="86"/>
      <c r="F67" s="87"/>
      <c r="G67" s="87"/>
      <c r="H67" s="144"/>
      <c r="I67" s="144"/>
      <c r="J67" s="144"/>
      <c r="K67" s="144" t="s">
        <v>16</v>
      </c>
      <c r="L67" s="144"/>
      <c r="M67" s="87">
        <f t="shared" si="5"/>
        <v>0.8</v>
      </c>
      <c r="N67" s="145"/>
    </row>
    <row r="68" spans="1:14" x14ac:dyDescent="0.4">
      <c r="A68" s="141"/>
      <c r="B68" s="142"/>
      <c r="C68" s="145"/>
      <c r="D68" s="86"/>
      <c r="E68" s="86"/>
      <c r="F68" s="87"/>
      <c r="G68" s="87"/>
      <c r="H68" s="144"/>
      <c r="I68" s="144"/>
      <c r="J68" s="144"/>
      <c r="K68" s="144"/>
      <c r="L68" s="144"/>
      <c r="M68" s="87"/>
      <c r="N68" s="145"/>
    </row>
    <row r="69" spans="1:14" s="110" customFormat="1" x14ac:dyDescent="0.4">
      <c r="A69" s="129"/>
      <c r="B69" s="135" t="s">
        <v>101</v>
      </c>
      <c r="C69" s="136" t="s">
        <v>134</v>
      </c>
      <c r="D69" s="137">
        <f>SUM(D70:D70)</f>
        <v>0.05</v>
      </c>
      <c r="E69" s="137"/>
      <c r="F69" s="138"/>
      <c r="G69" s="138"/>
      <c r="H69" s="147"/>
      <c r="I69" s="147"/>
      <c r="J69" s="147"/>
      <c r="K69" s="147"/>
      <c r="L69" s="147"/>
      <c r="M69" s="138">
        <f>SUM(M70)</f>
        <v>4.0000000000000009</v>
      </c>
      <c r="N69" s="136"/>
    </row>
    <row r="70" spans="1:14" x14ac:dyDescent="0.4">
      <c r="A70" s="141" t="s">
        <v>123</v>
      </c>
      <c r="B70" s="146" t="s">
        <v>6</v>
      </c>
      <c r="C70" s="143" t="str">
        <f>VLOOKUP($A70,[1]PERTANYAAN!$A$18:$E$71,3,0)</f>
        <v>Pertanyaan Spesifik User</v>
      </c>
      <c r="D70" s="85">
        <f>VLOOKUP($A70,[1]PERTANYAAN!$A$18:$E$71,5,0)</f>
        <v>0.05</v>
      </c>
      <c r="E70" s="86"/>
      <c r="F70" s="87"/>
      <c r="G70" s="87"/>
      <c r="H70" s="144"/>
      <c r="I70" s="144"/>
      <c r="J70" s="144"/>
      <c r="K70" s="144" t="s">
        <v>16</v>
      </c>
      <c r="L70" s="144"/>
      <c r="M70" s="87">
        <f t="shared" si="5"/>
        <v>4.0000000000000009</v>
      </c>
      <c r="N70" s="145"/>
    </row>
    <row r="71" spans="1:14" x14ac:dyDescent="0.4">
      <c r="B71" s="148"/>
      <c r="C71" s="149"/>
      <c r="D71" s="90"/>
      <c r="E71" s="90"/>
      <c r="F71" s="91"/>
      <c r="G71" s="91"/>
      <c r="H71" s="150"/>
      <c r="I71" s="150"/>
      <c r="J71" s="150"/>
      <c r="K71" s="150"/>
      <c r="L71" s="150"/>
      <c r="M71" s="91"/>
      <c r="N71" s="149"/>
    </row>
    <row r="73" spans="1:14" x14ac:dyDescent="0.4">
      <c r="H73" s="151" t="s">
        <v>61</v>
      </c>
    </row>
    <row r="74" spans="1:14" x14ac:dyDescent="0.4">
      <c r="H74" s="113" t="s">
        <v>39</v>
      </c>
      <c r="I74" s="113" t="s">
        <v>29</v>
      </c>
      <c r="J74" s="152" t="s">
        <v>69</v>
      </c>
    </row>
    <row r="75" spans="1:14" x14ac:dyDescent="0.4">
      <c r="H75" s="113" t="s">
        <v>40</v>
      </c>
      <c r="I75" s="113" t="s">
        <v>29</v>
      </c>
      <c r="J75" s="152" t="s">
        <v>70</v>
      </c>
    </row>
    <row r="76" spans="1:14" x14ac:dyDescent="0.4">
      <c r="H76" s="113" t="s">
        <v>41</v>
      </c>
      <c r="I76" s="113" t="s">
        <v>29</v>
      </c>
      <c r="J76" s="152" t="s">
        <v>71</v>
      </c>
    </row>
    <row r="77" spans="1:14" x14ac:dyDescent="0.4">
      <c r="H77" s="113" t="s">
        <v>42</v>
      </c>
      <c r="I77" s="113" t="s">
        <v>29</v>
      </c>
      <c r="J77" s="152" t="s">
        <v>72</v>
      </c>
    </row>
    <row r="78" spans="1:14" x14ac:dyDescent="0.4">
      <c r="H78" s="113" t="s">
        <v>43</v>
      </c>
      <c r="I78" s="113" t="s">
        <v>29</v>
      </c>
      <c r="J78" s="152" t="s">
        <v>73</v>
      </c>
    </row>
  </sheetData>
  <mergeCells count="8"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C51B3-EC6C-4F11-ACEC-E9D9A8BCBFDF}">
  <sheetPr>
    <tabColor theme="8" tint="0.39997558519241921"/>
  </sheetPr>
  <dimension ref="A1:N77"/>
  <sheetViews>
    <sheetView zoomScaleNormal="100" workbookViewId="0">
      <pane xSplit="1" ySplit="14" topLeftCell="B15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C13" sqref="C13:C14"/>
    </sheetView>
  </sheetViews>
  <sheetFormatPr defaultRowHeight="14.6" outlineLevelRow="1" x14ac:dyDescent="0.4"/>
  <cols>
    <col min="1" max="1" width="17.69140625" style="93" customWidth="1"/>
    <col min="2" max="2" width="4.3046875" style="92" bestFit="1" customWidth="1"/>
    <col min="3" max="3" width="40.07421875" style="93" bestFit="1" customWidth="1"/>
    <col min="4" max="4" width="9.23046875" style="5"/>
    <col min="5" max="5" width="1.69140625" style="5" customWidth="1"/>
    <col min="6" max="7" width="9.23046875" style="4"/>
    <col min="8" max="12" width="9.23046875" style="94"/>
    <col min="13" max="13" width="9.23046875" style="4"/>
    <col min="14" max="14" width="45.69140625" style="94" bestFit="1" customWidth="1"/>
    <col min="15" max="16384" width="9.23046875" style="93"/>
  </cols>
  <sheetData>
    <row r="1" spans="1:14" x14ac:dyDescent="0.4">
      <c r="A1" s="2" t="s">
        <v>125</v>
      </c>
    </row>
    <row r="2" spans="1:14" x14ac:dyDescent="0.4">
      <c r="A2" s="2" t="s">
        <v>0</v>
      </c>
    </row>
    <row r="5" spans="1:14" x14ac:dyDescent="0.4">
      <c r="A5" s="2" t="s">
        <v>1</v>
      </c>
      <c r="B5" s="92" t="s">
        <v>29</v>
      </c>
      <c r="C5" s="2" t="s">
        <v>129</v>
      </c>
      <c r="L5" s="26" t="s">
        <v>61</v>
      </c>
      <c r="M5" s="94"/>
    </row>
    <row r="6" spans="1:14" x14ac:dyDescent="0.4">
      <c r="A6" s="2" t="s">
        <v>20</v>
      </c>
      <c r="B6" s="92" t="s">
        <v>29</v>
      </c>
      <c r="C6" s="93" t="s">
        <v>31</v>
      </c>
      <c r="L6" s="94" t="s">
        <v>39</v>
      </c>
      <c r="M6" s="94" t="s">
        <v>29</v>
      </c>
      <c r="N6" s="95" t="s">
        <v>69</v>
      </c>
    </row>
    <row r="7" spans="1:14" x14ac:dyDescent="0.4">
      <c r="A7" s="2" t="s">
        <v>32</v>
      </c>
      <c r="B7" s="92" t="s">
        <v>29</v>
      </c>
      <c r="C7" s="93" t="s">
        <v>175</v>
      </c>
      <c r="L7" s="94" t="s">
        <v>40</v>
      </c>
      <c r="M7" s="94" t="s">
        <v>29</v>
      </c>
      <c r="N7" s="95" t="s">
        <v>70</v>
      </c>
    </row>
    <row r="8" spans="1:14" x14ac:dyDescent="0.4">
      <c r="A8" s="2" t="s">
        <v>34</v>
      </c>
      <c r="B8" s="92" t="s">
        <v>29</v>
      </c>
      <c r="C8" s="93" t="s">
        <v>35</v>
      </c>
      <c r="L8" s="94" t="s">
        <v>41</v>
      </c>
      <c r="M8" s="94" t="s">
        <v>29</v>
      </c>
      <c r="N8" s="95" t="s">
        <v>71</v>
      </c>
    </row>
    <row r="9" spans="1:14" x14ac:dyDescent="0.4">
      <c r="A9" s="2" t="s">
        <v>28</v>
      </c>
      <c r="B9" s="92" t="s">
        <v>29</v>
      </c>
      <c r="C9" s="93" t="s">
        <v>176</v>
      </c>
      <c r="L9" s="94" t="s">
        <v>42</v>
      </c>
      <c r="M9" s="94" t="s">
        <v>29</v>
      </c>
      <c r="N9" s="95" t="s">
        <v>72</v>
      </c>
    </row>
    <row r="10" spans="1:14" x14ac:dyDescent="0.4">
      <c r="A10" s="2" t="s">
        <v>38</v>
      </c>
      <c r="B10" s="92" t="s">
        <v>29</v>
      </c>
      <c r="C10" s="2" t="s">
        <v>177</v>
      </c>
      <c r="D10" s="6" t="s">
        <v>92</v>
      </c>
      <c r="L10" s="94" t="s">
        <v>43</v>
      </c>
      <c r="M10" s="94" t="s">
        <v>29</v>
      </c>
      <c r="N10" s="95" t="s">
        <v>73</v>
      </c>
    </row>
    <row r="11" spans="1:14" x14ac:dyDescent="0.4">
      <c r="A11" s="2" t="s">
        <v>67</v>
      </c>
      <c r="B11" s="92" t="s">
        <v>29</v>
      </c>
      <c r="C11" s="24">
        <f>M16</f>
        <v>60.9</v>
      </c>
    </row>
    <row r="13" spans="1:14" s="2" customFormat="1" x14ac:dyDescent="0.4">
      <c r="A13" s="67" t="s">
        <v>124</v>
      </c>
      <c r="B13" s="68" t="s">
        <v>2</v>
      </c>
      <c r="C13" s="68" t="s">
        <v>3</v>
      </c>
      <c r="D13" s="70" t="s">
        <v>19</v>
      </c>
      <c r="E13" s="42"/>
      <c r="F13" s="65" t="s">
        <v>18</v>
      </c>
      <c r="G13" s="65"/>
      <c r="H13" s="68" t="s">
        <v>37</v>
      </c>
      <c r="I13" s="68"/>
      <c r="J13" s="68"/>
      <c r="K13" s="68"/>
      <c r="L13" s="68"/>
      <c r="M13" s="65" t="s">
        <v>17</v>
      </c>
      <c r="N13" s="66" t="s">
        <v>61</v>
      </c>
    </row>
    <row r="14" spans="1:14" s="2" customFormat="1" x14ac:dyDescent="0.4">
      <c r="A14" s="67"/>
      <c r="B14" s="68"/>
      <c r="C14" s="96"/>
      <c r="D14" s="71"/>
      <c r="E14" s="44"/>
      <c r="F14" s="43" t="s">
        <v>14</v>
      </c>
      <c r="G14" s="43" t="s">
        <v>15</v>
      </c>
      <c r="H14" s="41" t="s">
        <v>39</v>
      </c>
      <c r="I14" s="41" t="s">
        <v>40</v>
      </c>
      <c r="J14" s="41" t="s">
        <v>41</v>
      </c>
      <c r="K14" s="41" t="s">
        <v>42</v>
      </c>
      <c r="L14" s="41" t="s">
        <v>43</v>
      </c>
      <c r="M14" s="65"/>
      <c r="N14" s="66"/>
    </row>
    <row r="15" spans="1:14" s="2" customFormat="1" x14ac:dyDescent="0.4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0"/>
    </row>
    <row r="16" spans="1:14" s="2" customFormat="1" x14ac:dyDescent="0.4">
      <c r="A16" s="3"/>
      <c r="B16" s="39"/>
      <c r="C16" s="63" t="s">
        <v>65</v>
      </c>
      <c r="D16" s="39"/>
      <c r="E16" s="39"/>
      <c r="F16" s="61"/>
      <c r="G16" s="61"/>
      <c r="H16" s="39"/>
      <c r="I16" s="39"/>
      <c r="J16" s="39"/>
      <c r="K16" s="39"/>
      <c r="L16" s="39"/>
      <c r="M16" s="40">
        <f>M17+M21+M27+M43+M60+M65+M69</f>
        <v>60.9</v>
      </c>
      <c r="N16" s="39"/>
    </row>
    <row r="17" spans="1:14" x14ac:dyDescent="0.4">
      <c r="B17" s="48" t="s">
        <v>66</v>
      </c>
      <c r="C17" s="49" t="s">
        <v>8</v>
      </c>
      <c r="D17" s="51">
        <f>SUM(D18:D19)</f>
        <v>0.1</v>
      </c>
      <c r="E17" s="51"/>
      <c r="F17" s="54"/>
      <c r="G17" s="54"/>
      <c r="H17" s="97"/>
      <c r="I17" s="97"/>
      <c r="J17" s="97"/>
      <c r="K17" s="97"/>
      <c r="L17" s="97"/>
      <c r="M17" s="54">
        <f>SUM(M18:M20)</f>
        <v>4</v>
      </c>
      <c r="N17" s="97"/>
    </row>
    <row r="18" spans="1:14" x14ac:dyDescent="0.4">
      <c r="A18" s="99" t="s">
        <v>102</v>
      </c>
      <c r="B18" s="100">
        <v>1</v>
      </c>
      <c r="C18" s="101" t="str">
        <f>VLOOKUP($A18,[3]PERTANYAAN!$A$18:$E$71,3,0)</f>
        <v>Pengalaman di dalam Daniswara Group</v>
      </c>
      <c r="D18" s="46">
        <f>VLOOKUP($A18,[3]PERTANYAAN!$A$18:$E$71,5,0)</f>
        <v>0.06</v>
      </c>
      <c r="E18" s="17"/>
      <c r="F18" s="16"/>
      <c r="G18" s="16" t="s">
        <v>16</v>
      </c>
      <c r="H18" s="102"/>
      <c r="I18" s="102"/>
      <c r="J18" s="102"/>
      <c r="K18" s="102"/>
      <c r="L18" s="102"/>
      <c r="M18" s="16">
        <f>IF(F18="V",D18*100,0)</f>
        <v>0</v>
      </c>
      <c r="N18" s="102"/>
    </row>
    <row r="19" spans="1:14" x14ac:dyDescent="0.4">
      <c r="A19" s="99" t="s">
        <v>103</v>
      </c>
      <c r="B19" s="100">
        <f>B18+1</f>
        <v>2</v>
      </c>
      <c r="C19" s="101" t="str">
        <f>VLOOKUP($A19,[3]PERTANYAAN!$A$18:$E$71,3,0)</f>
        <v>Pengalaman di luar Daniswara Group</v>
      </c>
      <c r="D19" s="46">
        <f>VLOOKUP($A19,[3]PERTANYAAN!$A$18:$E$71,5,0)</f>
        <v>0.04</v>
      </c>
      <c r="E19" s="17"/>
      <c r="F19" s="16" t="s">
        <v>16</v>
      </c>
      <c r="G19" s="16"/>
      <c r="H19" s="102"/>
      <c r="I19" s="102"/>
      <c r="J19" s="102"/>
      <c r="K19" s="102"/>
      <c r="L19" s="102"/>
      <c r="M19" s="16">
        <f>IF(F19="V",D19*100,0)</f>
        <v>4</v>
      </c>
      <c r="N19" s="102" t="s">
        <v>178</v>
      </c>
    </row>
    <row r="20" spans="1:14" x14ac:dyDescent="0.4">
      <c r="A20" s="92"/>
      <c r="B20" s="104"/>
      <c r="C20" s="103"/>
      <c r="D20" s="17"/>
      <c r="E20" s="17"/>
      <c r="F20" s="16"/>
      <c r="G20" s="16"/>
      <c r="H20" s="102"/>
      <c r="I20" s="102"/>
      <c r="J20" s="102"/>
      <c r="K20" s="102"/>
      <c r="L20" s="102"/>
      <c r="M20" s="16"/>
      <c r="N20" s="102"/>
    </row>
    <row r="21" spans="1:14" x14ac:dyDescent="0.4">
      <c r="A21" s="92"/>
      <c r="B21" s="48" t="s">
        <v>42</v>
      </c>
      <c r="C21" s="49" t="s">
        <v>9</v>
      </c>
      <c r="D21" s="51">
        <f>SUM(D22:D25)</f>
        <v>0.05</v>
      </c>
      <c r="E21" s="51"/>
      <c r="F21" s="54"/>
      <c r="G21" s="54"/>
      <c r="H21" s="97"/>
      <c r="I21" s="97"/>
      <c r="J21" s="97"/>
      <c r="K21" s="97"/>
      <c r="L21" s="97"/>
      <c r="M21" s="54">
        <f>SUM(M22:M25)</f>
        <v>5</v>
      </c>
      <c r="N21" s="97"/>
    </row>
    <row r="22" spans="1:14" x14ac:dyDescent="0.4">
      <c r="A22" s="99" t="s">
        <v>104</v>
      </c>
      <c r="B22" s="100">
        <v>1</v>
      </c>
      <c r="C22" s="101" t="str">
        <f>VLOOKUP($A22,[3]PERTANYAAN!$A$18:$E$71,3,0)</f>
        <v>Identitas (KTP &amp; KK)</v>
      </c>
      <c r="D22" s="46">
        <f>VLOOKUP($A22,[3]PERTANYAAN!$A$18:$E$71,5,0)</f>
        <v>0.01</v>
      </c>
      <c r="E22" s="17"/>
      <c r="F22" s="16" t="s">
        <v>16</v>
      </c>
      <c r="G22" s="16"/>
      <c r="H22" s="102"/>
      <c r="I22" s="102"/>
      <c r="J22" s="102"/>
      <c r="K22" s="102"/>
      <c r="L22" s="102"/>
      <c r="M22" s="16">
        <f>IF(F22="V",D22*100,0)</f>
        <v>1</v>
      </c>
      <c r="N22" s="102"/>
    </row>
    <row r="23" spans="1:14" x14ac:dyDescent="0.4">
      <c r="A23" s="99" t="s">
        <v>105</v>
      </c>
      <c r="B23" s="100">
        <f>B22+1</f>
        <v>2</v>
      </c>
      <c r="C23" s="101" t="str">
        <f>VLOOKUP($A23,[3]PERTANYAAN!$A$18:$E$71,3,0)</f>
        <v>SIM A (utk jabatan di Divisi Operasi)</v>
      </c>
      <c r="D23" s="46">
        <f>VLOOKUP($A23,[3]PERTANYAAN!$A$18:$E$71,5,0)</f>
        <v>0.02</v>
      </c>
      <c r="E23" s="17"/>
      <c r="F23" s="16" t="s">
        <v>16</v>
      </c>
      <c r="G23" s="16"/>
      <c r="H23" s="102"/>
      <c r="I23" s="102"/>
      <c r="J23" s="102"/>
      <c r="K23" s="102"/>
      <c r="L23" s="102"/>
      <c r="M23" s="16">
        <f>IF(F23="V",D23*100,0)</f>
        <v>2</v>
      </c>
      <c r="N23" s="102"/>
    </row>
    <row r="24" spans="1:14" x14ac:dyDescent="0.4">
      <c r="A24" s="99" t="s">
        <v>106</v>
      </c>
      <c r="B24" s="100">
        <f t="shared" ref="B24:B25" si="0">B23+1</f>
        <v>3</v>
      </c>
      <c r="C24" s="101" t="str">
        <f>VLOOKUP($A24,[3]PERTANYAAN!$A$18:$E$71,3,0)</f>
        <v>SIM C</v>
      </c>
      <c r="D24" s="46">
        <f>VLOOKUP($A24,[3]PERTANYAAN!$A$18:$E$71,5,0)</f>
        <v>0.01</v>
      </c>
      <c r="E24" s="17"/>
      <c r="F24" s="16" t="s">
        <v>16</v>
      </c>
      <c r="G24" s="16"/>
      <c r="H24" s="102"/>
      <c r="I24" s="102"/>
      <c r="J24" s="102"/>
      <c r="K24" s="102"/>
      <c r="L24" s="102"/>
      <c r="M24" s="16">
        <f>IF(F24="V",D24*100,0)</f>
        <v>1</v>
      </c>
      <c r="N24" s="102"/>
    </row>
    <row r="25" spans="1:14" x14ac:dyDescent="0.4">
      <c r="A25" s="99" t="s">
        <v>107</v>
      </c>
      <c r="B25" s="100">
        <f t="shared" si="0"/>
        <v>4</v>
      </c>
      <c r="C25" s="101" t="str">
        <f>VLOOKUP($A25,[3]PERTANYAAN!$A$18:$E$71,3,0)</f>
        <v>NPWP</v>
      </c>
      <c r="D25" s="46">
        <f>VLOOKUP($A25,[3]PERTANYAAN!$A$18:$E$71,5,0)</f>
        <v>0.01</v>
      </c>
      <c r="E25" s="17"/>
      <c r="F25" s="16" t="s">
        <v>16</v>
      </c>
      <c r="G25" s="16"/>
      <c r="H25" s="102"/>
      <c r="I25" s="102"/>
      <c r="J25" s="102"/>
      <c r="K25" s="102"/>
      <c r="L25" s="102"/>
      <c r="M25" s="16">
        <f>IF(F25="V",D25*100,0)</f>
        <v>1</v>
      </c>
      <c r="N25" s="102"/>
    </row>
    <row r="26" spans="1:14" x14ac:dyDescent="0.4">
      <c r="A26" s="92"/>
      <c r="B26" s="104"/>
      <c r="C26" s="103"/>
      <c r="D26" s="17"/>
      <c r="E26" s="17"/>
      <c r="F26" s="16"/>
      <c r="G26" s="16"/>
      <c r="H26" s="102"/>
      <c r="I26" s="102"/>
      <c r="J26" s="102"/>
      <c r="K26" s="102"/>
      <c r="L26" s="102"/>
      <c r="M26" s="16"/>
      <c r="N26" s="102"/>
    </row>
    <row r="27" spans="1:14" x14ac:dyDescent="0.4">
      <c r="A27" s="92"/>
      <c r="B27" s="48" t="s">
        <v>97</v>
      </c>
      <c r="C27" s="49" t="s">
        <v>21</v>
      </c>
      <c r="D27" s="51">
        <f>D28</f>
        <v>0.35000000000000003</v>
      </c>
      <c r="E27" s="57"/>
      <c r="F27" s="60"/>
      <c r="G27" s="60"/>
      <c r="H27" s="97"/>
      <c r="I27" s="97"/>
      <c r="J27" s="97"/>
      <c r="K27" s="97"/>
      <c r="L27" s="97"/>
      <c r="M27" s="54">
        <f>M28</f>
        <v>19.5</v>
      </c>
      <c r="N27" s="97"/>
    </row>
    <row r="28" spans="1:14" x14ac:dyDescent="0.4">
      <c r="A28" s="99" t="s">
        <v>108</v>
      </c>
      <c r="B28" s="100">
        <v>1</v>
      </c>
      <c r="C28" s="101" t="str">
        <f>VLOOKUP($A28,[3]PERTANYAAN!$A$18:$E$71,3,0)</f>
        <v>Operasi / Logistik</v>
      </c>
      <c r="D28" s="46">
        <f>VLOOKUP($A28,[3]PERTANYAAN!$A$18:$E$71,5,0)</f>
        <v>0.35000000000000003</v>
      </c>
      <c r="E28" s="17"/>
      <c r="F28" s="16"/>
      <c r="G28" s="16"/>
      <c r="H28" s="102"/>
      <c r="I28" s="102"/>
      <c r="J28" s="102"/>
      <c r="K28" s="102"/>
      <c r="L28" s="102"/>
      <c r="M28" s="16">
        <f>SUM(M29:M33)</f>
        <v>19.5</v>
      </c>
      <c r="N28" s="102"/>
    </row>
    <row r="29" spans="1:14" x14ac:dyDescent="0.4">
      <c r="A29" s="99" t="s">
        <v>109</v>
      </c>
      <c r="B29" s="100" t="s">
        <v>6</v>
      </c>
      <c r="C29" s="101" t="str">
        <f>VLOOKUP($A29,[3]PERTANYAAN!$A$18:$E$71,3,0)</f>
        <v>Skill Mengemudi</v>
      </c>
      <c r="D29" s="46">
        <f>VLOOKUP($A29,[3]PERTANYAAN!$A$18:$E$71,5,0)</f>
        <v>0.15</v>
      </c>
      <c r="E29" s="17"/>
      <c r="F29" s="16"/>
      <c r="G29" s="16"/>
      <c r="H29" s="102"/>
      <c r="I29" s="102"/>
      <c r="J29" s="102" t="s">
        <v>16</v>
      </c>
      <c r="K29" s="102"/>
      <c r="L29" s="102"/>
      <c r="M29" s="16">
        <f>IF(H29="V",$D29*H$15,IF(I29="V",$D29*I$15,IF(J29="V",$D29*J$15,IF(K29="V",$D29*K$15,IF(L29="V",$D29*L$15,0)))))*100</f>
        <v>9</v>
      </c>
      <c r="N29" s="102" t="s">
        <v>179</v>
      </c>
    </row>
    <row r="30" spans="1:14" x14ac:dyDescent="0.4">
      <c r="A30" s="99" t="s">
        <v>110</v>
      </c>
      <c r="B30" s="100" t="s">
        <v>6</v>
      </c>
      <c r="C30" s="101" t="str">
        <f>VLOOKUP($A30,[3]PERTANYAAN!$A$18:$E$71,3,0)</f>
        <v>Flow Administrasi Logistik</v>
      </c>
      <c r="D30" s="46">
        <f>VLOOKUP($A30,[3]PERTANYAAN!$A$18:$E$71,5,0)</f>
        <v>0.1</v>
      </c>
      <c r="E30" s="17"/>
      <c r="F30" s="16"/>
      <c r="G30" s="16"/>
      <c r="H30" s="102"/>
      <c r="I30" s="102"/>
      <c r="J30" s="102" t="s">
        <v>16</v>
      </c>
      <c r="K30" s="102"/>
      <c r="L30" s="102"/>
      <c r="M30" s="16">
        <f t="shared" ref="M30:M32" si="1">IF(H30="V",$D30*H$15,IF(I30="V",$D30*I$15,IF(J30="V",$D30*J$15,IF(K30="V",$D30*K$15,IF(L30="V",$D30*L$15,0)))))*100</f>
        <v>6</v>
      </c>
      <c r="N30" s="102"/>
    </row>
    <row r="31" spans="1:14" x14ac:dyDescent="0.4">
      <c r="A31" s="99" t="s">
        <v>111</v>
      </c>
      <c r="B31" s="100" t="s">
        <v>6</v>
      </c>
      <c r="C31" s="101" t="str">
        <f>VLOOKUP($A31,[3]PERTANYAAN!$A$18:$E$71,3,0)</f>
        <v>Pengetahuan terkait logistik</v>
      </c>
      <c r="D31" s="46">
        <f>VLOOKUP($A31,[3]PERTANYAAN!$A$18:$E$71,5,0)</f>
        <v>2.5000000000000001E-2</v>
      </c>
      <c r="E31" s="17"/>
      <c r="F31" s="16"/>
      <c r="G31" s="16"/>
      <c r="H31" s="102"/>
      <c r="I31" s="102"/>
      <c r="J31" s="102" t="s">
        <v>16</v>
      </c>
      <c r="K31" s="102"/>
      <c r="L31" s="102"/>
      <c r="M31" s="16">
        <f t="shared" si="1"/>
        <v>1.5</v>
      </c>
      <c r="N31" s="102" t="s">
        <v>180</v>
      </c>
    </row>
    <row r="32" spans="1:14" x14ac:dyDescent="0.4">
      <c r="A32" s="99" t="s">
        <v>112</v>
      </c>
      <c r="B32" s="100" t="s">
        <v>6</v>
      </c>
      <c r="C32" s="101" t="str">
        <f>VLOOKUP($A32,[3]PERTANYAAN!$A$18:$E$71,3,0)</f>
        <v>Pengalaman di Bongkar Muat</v>
      </c>
      <c r="D32" s="46">
        <f>VLOOKUP($A32,[3]PERTANYAAN!$A$18:$E$71,5,0)</f>
        <v>7.4999999999999997E-2</v>
      </c>
      <c r="E32" s="17"/>
      <c r="F32" s="16"/>
      <c r="G32" s="16"/>
      <c r="H32" s="102"/>
      <c r="I32" s="102" t="s">
        <v>16</v>
      </c>
      <c r="J32" s="102"/>
      <c r="K32" s="102"/>
      <c r="L32" s="102"/>
      <c r="M32" s="16">
        <f t="shared" si="1"/>
        <v>3</v>
      </c>
      <c r="N32" s="102" t="s">
        <v>181</v>
      </c>
    </row>
    <row r="33" spans="1:14" x14ac:dyDescent="0.4">
      <c r="A33" s="92"/>
      <c r="B33" s="100"/>
      <c r="C33" s="103"/>
      <c r="D33" s="17"/>
      <c r="E33" s="17"/>
      <c r="F33" s="16"/>
      <c r="G33" s="16"/>
      <c r="H33" s="102"/>
      <c r="I33" s="102"/>
      <c r="J33" s="102"/>
      <c r="K33" s="102"/>
      <c r="L33" s="102"/>
      <c r="M33" s="16"/>
      <c r="N33" s="102"/>
    </row>
    <row r="34" spans="1:14" hidden="1" outlineLevel="1" x14ac:dyDescent="0.4">
      <c r="A34" s="92"/>
      <c r="B34" s="100">
        <f>B28+1</f>
        <v>2</v>
      </c>
      <c r="C34" s="103" t="s">
        <v>22</v>
      </c>
      <c r="D34" s="17">
        <f>SUM(D35:D37)</f>
        <v>0.35</v>
      </c>
      <c r="E34" s="17"/>
      <c r="F34" s="16"/>
      <c r="G34" s="16"/>
      <c r="H34" s="102"/>
      <c r="I34" s="102"/>
      <c r="J34" s="102"/>
      <c r="K34" s="102"/>
      <c r="L34" s="102"/>
      <c r="M34" s="16"/>
      <c r="N34" s="102"/>
    </row>
    <row r="35" spans="1:14" hidden="1" outlineLevel="1" x14ac:dyDescent="0.4">
      <c r="A35" s="92"/>
      <c r="B35" s="100" t="s">
        <v>6</v>
      </c>
      <c r="C35" s="103" t="s">
        <v>44</v>
      </c>
      <c r="D35" s="17">
        <v>0.15</v>
      </c>
      <c r="E35" s="17"/>
      <c r="F35" s="16"/>
      <c r="G35" s="16"/>
      <c r="H35" s="102"/>
      <c r="I35" s="102"/>
      <c r="J35" s="102"/>
      <c r="K35" s="102"/>
      <c r="L35" s="102"/>
      <c r="M35" s="16"/>
      <c r="N35" s="102"/>
    </row>
    <row r="36" spans="1:14" hidden="1" outlineLevel="1" x14ac:dyDescent="0.4">
      <c r="A36" s="92"/>
      <c r="B36" s="100" t="s">
        <v>6</v>
      </c>
      <c r="C36" s="103" t="s">
        <v>50</v>
      </c>
      <c r="D36" s="17">
        <v>0.2</v>
      </c>
      <c r="E36" s="17"/>
      <c r="F36" s="16"/>
      <c r="G36" s="16"/>
      <c r="H36" s="102"/>
      <c r="I36" s="102"/>
      <c r="J36" s="102"/>
      <c r="K36" s="102"/>
      <c r="L36" s="102"/>
      <c r="M36" s="16"/>
      <c r="N36" s="102"/>
    </row>
    <row r="37" spans="1:14" hidden="1" outlineLevel="1" x14ac:dyDescent="0.4">
      <c r="A37" s="92"/>
      <c r="B37" s="100"/>
      <c r="C37" s="103"/>
      <c r="D37" s="17"/>
      <c r="E37" s="17"/>
      <c r="F37" s="16"/>
      <c r="G37" s="16"/>
      <c r="H37" s="102"/>
      <c r="I37" s="102"/>
      <c r="J37" s="102"/>
      <c r="K37" s="102"/>
      <c r="L37" s="102"/>
      <c r="M37" s="16"/>
      <c r="N37" s="102"/>
    </row>
    <row r="38" spans="1:14" hidden="1" outlineLevel="1" x14ac:dyDescent="0.4">
      <c r="A38" s="92"/>
      <c r="B38" s="104">
        <v>3</v>
      </c>
      <c r="C38" s="103" t="s">
        <v>23</v>
      </c>
      <c r="D38" s="17"/>
      <c r="E38" s="17"/>
      <c r="F38" s="16"/>
      <c r="G38" s="16"/>
      <c r="H38" s="102"/>
      <c r="I38" s="102"/>
      <c r="J38" s="102"/>
      <c r="K38" s="102"/>
      <c r="L38" s="102"/>
      <c r="M38" s="16"/>
      <c r="N38" s="102"/>
    </row>
    <row r="39" spans="1:14" hidden="1" outlineLevel="1" x14ac:dyDescent="0.4">
      <c r="A39" s="92"/>
      <c r="B39" s="100" t="s">
        <v>6</v>
      </c>
      <c r="C39" s="103" t="s">
        <v>52</v>
      </c>
      <c r="D39" s="17"/>
      <c r="E39" s="17"/>
      <c r="F39" s="16"/>
      <c r="G39" s="16"/>
      <c r="H39" s="102"/>
      <c r="I39" s="102"/>
      <c r="J39" s="102"/>
      <c r="K39" s="102"/>
      <c r="L39" s="102"/>
      <c r="M39" s="16"/>
      <c r="N39" s="102"/>
    </row>
    <row r="40" spans="1:14" hidden="1" outlineLevel="1" x14ac:dyDescent="0.4">
      <c r="A40" s="92"/>
      <c r="B40" s="100" t="s">
        <v>6</v>
      </c>
      <c r="C40" s="103" t="s">
        <v>53</v>
      </c>
      <c r="D40" s="17"/>
      <c r="E40" s="17"/>
      <c r="F40" s="16"/>
      <c r="G40" s="16"/>
      <c r="H40" s="102"/>
      <c r="I40" s="102"/>
      <c r="J40" s="102"/>
      <c r="K40" s="102"/>
      <c r="L40" s="102"/>
      <c r="M40" s="16"/>
      <c r="N40" s="102"/>
    </row>
    <row r="41" spans="1:14" hidden="1" outlineLevel="1" x14ac:dyDescent="0.4">
      <c r="A41" s="92"/>
      <c r="B41" s="100" t="s">
        <v>6</v>
      </c>
      <c r="C41" s="103"/>
      <c r="D41" s="17"/>
      <c r="E41" s="17"/>
      <c r="F41" s="16"/>
      <c r="G41" s="16"/>
      <c r="H41" s="102"/>
      <c r="I41" s="102"/>
      <c r="J41" s="102"/>
      <c r="K41" s="102"/>
      <c r="L41" s="102"/>
      <c r="M41" s="16"/>
      <c r="N41" s="102"/>
    </row>
    <row r="42" spans="1:14" hidden="1" outlineLevel="1" x14ac:dyDescent="0.4">
      <c r="A42" s="92"/>
      <c r="B42" s="104"/>
      <c r="C42" s="103"/>
      <c r="D42" s="17"/>
      <c r="E42" s="17"/>
      <c r="F42" s="16"/>
      <c r="G42" s="16"/>
      <c r="H42" s="102"/>
      <c r="I42" s="102"/>
      <c r="J42" s="102"/>
      <c r="K42" s="102"/>
      <c r="L42" s="102"/>
      <c r="M42" s="16"/>
      <c r="N42" s="102"/>
    </row>
    <row r="43" spans="1:14" s="2" customFormat="1" collapsed="1" x14ac:dyDescent="0.4">
      <c r="A43" s="3"/>
      <c r="B43" s="48" t="s">
        <v>98</v>
      </c>
      <c r="C43" s="49" t="s">
        <v>24</v>
      </c>
      <c r="D43" s="51">
        <f>D44</f>
        <v>0.25</v>
      </c>
      <c r="E43" s="51"/>
      <c r="F43" s="54"/>
      <c r="G43" s="54"/>
      <c r="H43" s="59"/>
      <c r="I43" s="59"/>
      <c r="J43" s="59"/>
      <c r="K43" s="59"/>
      <c r="L43" s="59"/>
      <c r="M43" s="54">
        <f>M44</f>
        <v>20.5</v>
      </c>
      <c r="N43" s="59"/>
    </row>
    <row r="44" spans="1:14" x14ac:dyDescent="0.4">
      <c r="A44" s="92" t="s">
        <v>113</v>
      </c>
      <c r="B44" s="104">
        <v>1</v>
      </c>
      <c r="C44" s="101" t="str">
        <f>VLOOKUP($A44,[3]PERTANYAAN!$A$18:$E$71,3,0)</f>
        <v>Staff</v>
      </c>
      <c r="D44" s="46">
        <f>VLOOKUP($A44,[3]PERTANYAAN!$A$18:$E$71,5,0)</f>
        <v>0.25</v>
      </c>
      <c r="E44" s="17"/>
      <c r="F44" s="16"/>
      <c r="G44" s="16"/>
      <c r="H44" s="102"/>
      <c r="I44" s="102"/>
      <c r="J44" s="102"/>
      <c r="K44" s="102"/>
      <c r="L44" s="102"/>
      <c r="M44" s="16">
        <f>SUM(M45:M48)</f>
        <v>20.5</v>
      </c>
      <c r="N44" s="102"/>
    </row>
    <row r="45" spans="1:14" x14ac:dyDescent="0.4">
      <c r="A45" s="99" t="s">
        <v>114</v>
      </c>
      <c r="B45" s="100" t="s">
        <v>6</v>
      </c>
      <c r="C45" s="101" t="str">
        <f>VLOOKUP($A45,[3]PERTANYAAN!$A$18:$E$71,3,0)</f>
        <v>Kepemimpinan</v>
      </c>
      <c r="D45" s="46">
        <f>VLOOKUP($A45,[3]PERTANYAAN!$A$18:$E$71,5,0)</f>
        <v>2.5000000000000001E-2</v>
      </c>
      <c r="E45" s="17"/>
      <c r="F45" s="16"/>
      <c r="G45" s="16"/>
      <c r="H45" s="102"/>
      <c r="I45" s="102"/>
      <c r="J45" s="102" t="s">
        <v>16</v>
      </c>
      <c r="K45" s="102"/>
      <c r="L45" s="102"/>
      <c r="M45" s="16">
        <f>IF(H45="V",$D45*H$15,IF(I45="V",$D45*I$15,IF(J45="V",$D45*J$15,IF(K45="V",$D45*K$15,IF(L45="V",$D45*L$15,0)))))*100</f>
        <v>1.5</v>
      </c>
      <c r="N45" s="102" t="s">
        <v>182</v>
      </c>
    </row>
    <row r="46" spans="1:14" x14ac:dyDescent="0.4">
      <c r="A46" s="99" t="s">
        <v>115</v>
      </c>
      <c r="B46" s="100" t="s">
        <v>6</v>
      </c>
      <c r="C46" s="101" t="str">
        <f>VLOOKUP($A46,[3]PERTANYAAN!$A$18:$E$71,3,0)</f>
        <v>Komunikasi</v>
      </c>
      <c r="D46" s="46">
        <f>VLOOKUP($A46,[3]PERTANYAAN!$A$18:$E$71,5,0)</f>
        <v>0.1</v>
      </c>
      <c r="E46" s="17"/>
      <c r="F46" s="16"/>
      <c r="G46" s="16"/>
      <c r="H46" s="102"/>
      <c r="I46" s="102"/>
      <c r="J46" s="102"/>
      <c r="K46" s="102" t="s">
        <v>16</v>
      </c>
      <c r="L46" s="102"/>
      <c r="M46" s="16">
        <f>IF(H46="V",$D46*H$15,IF(I46="V",$D46*I$15,IF(J46="V",$D46*J$15,IF(K46="V",$D46*K$15,IF(L46="V",$D46*L$15,0)))))*100</f>
        <v>8.0000000000000018</v>
      </c>
      <c r="N46" s="102"/>
    </row>
    <row r="47" spans="1:14" x14ac:dyDescent="0.4">
      <c r="A47" s="99" t="s">
        <v>116</v>
      </c>
      <c r="B47" s="100" t="s">
        <v>6</v>
      </c>
      <c r="C47" s="101" t="str">
        <f>VLOOKUP($A47,[3]PERTANYAAN!$A$18:$E$71,3,0)</f>
        <v>Patuh pada Peraturan / Commitment</v>
      </c>
      <c r="D47" s="46">
        <f>VLOOKUP($A47,[3]PERTANYAAN!$A$18:$E$71,5,0)</f>
        <v>0.05</v>
      </c>
      <c r="E47" s="17"/>
      <c r="F47" s="16"/>
      <c r="G47" s="16"/>
      <c r="H47" s="102"/>
      <c r="I47" s="102"/>
      <c r="J47" s="102"/>
      <c r="K47" s="102"/>
      <c r="L47" s="102" t="s">
        <v>16</v>
      </c>
      <c r="M47" s="16">
        <f>IF(H47="V",$D47*H$15,IF(I47="V",$D47*I$15,IF(J47="V",$D47*J$15,IF(K47="V",$D47*K$15,IF(L47="V",$D47*L$15,0)))))*100</f>
        <v>5</v>
      </c>
      <c r="N47" s="102" t="s">
        <v>183</v>
      </c>
    </row>
    <row r="48" spans="1:14" x14ac:dyDescent="0.4">
      <c r="A48" s="99" t="s">
        <v>117</v>
      </c>
      <c r="B48" s="100" t="s">
        <v>6</v>
      </c>
      <c r="C48" s="101" t="str">
        <f>VLOOKUP($A48,[3]PERTANYAAN!$A$18:$E$71,3,0)</f>
        <v>Determinasi thd tekanan</v>
      </c>
      <c r="D48" s="46">
        <f>VLOOKUP($A48,[3]PERTANYAAN!$A$18:$E$71,5,0)</f>
        <v>7.4999999999999997E-2</v>
      </c>
      <c r="E48" s="17"/>
      <c r="F48" s="16"/>
      <c r="G48" s="16"/>
      <c r="H48" s="102"/>
      <c r="I48" s="102"/>
      <c r="J48" s="102"/>
      <c r="K48" s="102" t="s">
        <v>16</v>
      </c>
      <c r="L48" s="102"/>
      <c r="M48" s="16">
        <f>IF(H48="V",$D48*H$15,IF(I48="V",$D48*I$15,IF(J48="V",$D48*J$15,IF(K48="V",$D48*K$15,IF(L48="V",$D48*L$15,0)))))*100</f>
        <v>6</v>
      </c>
      <c r="N48" s="102" t="s">
        <v>184</v>
      </c>
    </row>
    <row r="49" spans="1:14" x14ac:dyDescent="0.4">
      <c r="A49" s="92"/>
      <c r="B49" s="100"/>
      <c r="C49" s="103"/>
      <c r="D49" s="17"/>
      <c r="E49" s="17"/>
      <c r="F49" s="16"/>
      <c r="G49" s="16"/>
      <c r="H49" s="102"/>
      <c r="I49" s="102"/>
      <c r="J49" s="102"/>
      <c r="K49" s="102"/>
      <c r="L49" s="102"/>
      <c r="M49" s="16"/>
      <c r="N49" s="102"/>
    </row>
    <row r="50" spans="1:14" hidden="1" outlineLevel="1" x14ac:dyDescent="0.4">
      <c r="A50" s="92"/>
      <c r="B50" s="104">
        <v>2</v>
      </c>
      <c r="C50" s="103" t="s">
        <v>26</v>
      </c>
      <c r="D50" s="17"/>
      <c r="E50" s="17"/>
      <c r="F50" s="16"/>
      <c r="G50" s="16"/>
      <c r="H50" s="102"/>
      <c r="I50" s="102"/>
      <c r="J50" s="102"/>
      <c r="K50" s="102"/>
      <c r="L50" s="102"/>
      <c r="M50" s="16"/>
      <c r="N50" s="102"/>
    </row>
    <row r="51" spans="1:14" hidden="1" outlineLevel="1" x14ac:dyDescent="0.4">
      <c r="A51" s="92"/>
      <c r="B51" s="100" t="s">
        <v>6</v>
      </c>
      <c r="C51" s="103" t="s">
        <v>54</v>
      </c>
      <c r="D51" s="17"/>
      <c r="E51" s="17"/>
      <c r="F51" s="16"/>
      <c r="G51" s="16"/>
      <c r="H51" s="102"/>
      <c r="I51" s="102"/>
      <c r="J51" s="102"/>
      <c r="K51" s="102"/>
      <c r="L51" s="102"/>
      <c r="M51" s="16"/>
      <c r="N51" s="102"/>
    </row>
    <row r="52" spans="1:14" hidden="1" outlineLevel="1" x14ac:dyDescent="0.4">
      <c r="A52" s="92"/>
      <c r="B52" s="100" t="s">
        <v>6</v>
      </c>
      <c r="C52" s="103" t="s">
        <v>55</v>
      </c>
      <c r="D52" s="17"/>
      <c r="E52" s="17"/>
      <c r="F52" s="16"/>
      <c r="G52" s="16"/>
      <c r="H52" s="102"/>
      <c r="I52" s="102"/>
      <c r="J52" s="102"/>
      <c r="K52" s="102"/>
      <c r="L52" s="102"/>
      <c r="M52" s="16"/>
      <c r="N52" s="102"/>
    </row>
    <row r="53" spans="1:14" hidden="1" outlineLevel="1" x14ac:dyDescent="0.4">
      <c r="A53" s="92"/>
      <c r="B53" s="100" t="s">
        <v>6</v>
      </c>
      <c r="C53" s="103" t="s">
        <v>56</v>
      </c>
      <c r="D53" s="17"/>
      <c r="E53" s="17"/>
      <c r="F53" s="16"/>
      <c r="G53" s="16"/>
      <c r="H53" s="102"/>
      <c r="I53" s="102"/>
      <c r="J53" s="102"/>
      <c r="K53" s="102"/>
      <c r="L53" s="102"/>
      <c r="M53" s="16"/>
      <c r="N53" s="102"/>
    </row>
    <row r="54" spans="1:14" hidden="1" outlineLevel="1" x14ac:dyDescent="0.4">
      <c r="A54" s="92"/>
      <c r="B54" s="100"/>
      <c r="C54" s="103"/>
      <c r="D54" s="17"/>
      <c r="E54" s="17"/>
      <c r="F54" s="16"/>
      <c r="G54" s="16"/>
      <c r="H54" s="102"/>
      <c r="I54" s="102"/>
      <c r="J54" s="102"/>
      <c r="K54" s="102"/>
      <c r="L54" s="102"/>
      <c r="M54" s="16"/>
      <c r="N54" s="102"/>
    </row>
    <row r="55" spans="1:14" hidden="1" outlineLevel="1" x14ac:dyDescent="0.4">
      <c r="A55" s="92"/>
      <c r="B55" s="104">
        <v>3</v>
      </c>
      <c r="C55" s="103" t="s">
        <v>27</v>
      </c>
      <c r="D55" s="17"/>
      <c r="E55" s="17"/>
      <c r="F55" s="16"/>
      <c r="G55" s="16"/>
      <c r="H55" s="102"/>
      <c r="I55" s="102"/>
      <c r="J55" s="102"/>
      <c r="K55" s="102"/>
      <c r="L55" s="102"/>
      <c r="M55" s="16"/>
      <c r="N55" s="102"/>
    </row>
    <row r="56" spans="1:14" hidden="1" outlineLevel="1" x14ac:dyDescent="0.4">
      <c r="A56" s="92"/>
      <c r="B56" s="100" t="s">
        <v>6</v>
      </c>
      <c r="C56" s="103" t="s">
        <v>54</v>
      </c>
      <c r="D56" s="17"/>
      <c r="E56" s="17"/>
      <c r="F56" s="16"/>
      <c r="G56" s="16"/>
      <c r="H56" s="102"/>
      <c r="I56" s="102"/>
      <c r="J56" s="102"/>
      <c r="K56" s="102"/>
      <c r="L56" s="102"/>
      <c r="M56" s="16"/>
      <c r="N56" s="102"/>
    </row>
    <row r="57" spans="1:14" hidden="1" outlineLevel="1" x14ac:dyDescent="0.4">
      <c r="A57" s="92"/>
      <c r="B57" s="100" t="s">
        <v>6</v>
      </c>
      <c r="C57" s="103" t="s">
        <v>56</v>
      </c>
      <c r="D57" s="17"/>
      <c r="E57" s="17"/>
      <c r="F57" s="16"/>
      <c r="G57" s="16"/>
      <c r="H57" s="102"/>
      <c r="I57" s="102"/>
      <c r="J57" s="102"/>
      <c r="K57" s="102"/>
      <c r="L57" s="102"/>
      <c r="M57" s="16"/>
      <c r="N57" s="102"/>
    </row>
    <row r="58" spans="1:14" hidden="1" outlineLevel="1" x14ac:dyDescent="0.4">
      <c r="A58" s="92"/>
      <c r="B58" s="100" t="s">
        <v>6</v>
      </c>
      <c r="C58" s="103" t="s">
        <v>57</v>
      </c>
      <c r="D58" s="17"/>
      <c r="E58" s="17"/>
      <c r="F58" s="16"/>
      <c r="G58" s="16"/>
      <c r="H58" s="102"/>
      <c r="I58" s="102"/>
      <c r="J58" s="102"/>
      <c r="K58" s="102"/>
      <c r="L58" s="102"/>
      <c r="M58" s="16"/>
      <c r="N58" s="102"/>
    </row>
    <row r="59" spans="1:14" hidden="1" outlineLevel="1" x14ac:dyDescent="0.4">
      <c r="A59" s="92"/>
      <c r="B59" s="104"/>
      <c r="C59" s="103"/>
      <c r="D59" s="17"/>
      <c r="E59" s="17"/>
      <c r="F59" s="16"/>
      <c r="G59" s="16"/>
      <c r="H59" s="102"/>
      <c r="I59" s="102"/>
      <c r="J59" s="102"/>
      <c r="K59" s="102"/>
      <c r="L59" s="102"/>
      <c r="M59" s="16"/>
      <c r="N59" s="102"/>
    </row>
    <row r="60" spans="1:14" s="2" customFormat="1" collapsed="1" x14ac:dyDescent="0.4">
      <c r="A60" s="3"/>
      <c r="B60" s="48" t="s">
        <v>99</v>
      </c>
      <c r="C60" s="49" t="s">
        <v>46</v>
      </c>
      <c r="D60" s="51">
        <f>SUM(D61:D64)</f>
        <v>0.15</v>
      </c>
      <c r="E60" s="51"/>
      <c r="F60" s="54"/>
      <c r="G60" s="54"/>
      <c r="H60" s="59"/>
      <c r="I60" s="59"/>
      <c r="J60" s="59"/>
      <c r="K60" s="59"/>
      <c r="L60" s="59"/>
      <c r="M60" s="54">
        <f>SUM(M61:M64)</f>
        <v>8.5</v>
      </c>
      <c r="N60" s="59"/>
    </row>
    <row r="61" spans="1:14" x14ac:dyDescent="0.4">
      <c r="A61" s="99" t="s">
        <v>118</v>
      </c>
      <c r="B61" s="100" t="s">
        <v>6</v>
      </c>
      <c r="C61" s="101" t="str">
        <f>VLOOKUP($A61,[3]PERTANYAAN!$A$18:$E$71,3,0)</f>
        <v>Antusiasme / Keinginan bergabung</v>
      </c>
      <c r="D61" s="46">
        <f>VLOOKUP($A61,[3]PERTANYAAN!$A$18:$E$71,5,0)</f>
        <v>7.4999999999999997E-2</v>
      </c>
      <c r="E61" s="17"/>
      <c r="F61" s="16"/>
      <c r="G61" s="16"/>
      <c r="H61" s="102"/>
      <c r="I61" s="102"/>
      <c r="J61" s="102" t="s">
        <v>16</v>
      </c>
      <c r="K61" s="102"/>
      <c r="L61" s="102"/>
      <c r="M61" s="16">
        <f t="shared" ref="M61:M63" si="2">IF(H61="V",$D61*H$15,IF(I61="V",$D61*I$15,IF(J61="V",$D61*J$15,IF(K61="V",$D61*K$15,IF(L61="V",$D61*L$15,0)))))*100</f>
        <v>4.5</v>
      </c>
      <c r="N61" s="102"/>
    </row>
    <row r="62" spans="1:14" x14ac:dyDescent="0.4">
      <c r="A62" s="99" t="s">
        <v>119</v>
      </c>
      <c r="B62" s="100" t="s">
        <v>6</v>
      </c>
      <c r="C62" s="101" t="str">
        <f>VLOOKUP($A62,[3]PERTANYAAN!$A$18:$E$71,3,0)</f>
        <v>Inisiatif</v>
      </c>
      <c r="D62" s="46">
        <f>VLOOKUP($A62,[3]PERTANYAAN!$A$18:$E$71,5,0)</f>
        <v>0.05</v>
      </c>
      <c r="E62" s="17"/>
      <c r="F62" s="16"/>
      <c r="G62" s="16"/>
      <c r="H62" s="102"/>
      <c r="I62" s="102"/>
      <c r="J62" s="102" t="s">
        <v>16</v>
      </c>
      <c r="K62" s="102"/>
      <c r="L62" s="102"/>
      <c r="M62" s="16">
        <f t="shared" si="2"/>
        <v>3</v>
      </c>
      <c r="N62" s="102"/>
    </row>
    <row r="63" spans="1:14" x14ac:dyDescent="0.4">
      <c r="A63" s="99" t="s">
        <v>120</v>
      </c>
      <c r="B63" s="100" t="s">
        <v>6</v>
      </c>
      <c r="C63" s="101" t="str">
        <f>VLOOKUP($A63,[3]PERTANYAAN!$A$18:$E$71,3,0)</f>
        <v>Adaptif</v>
      </c>
      <c r="D63" s="46">
        <f>VLOOKUP($A63,[3]PERTANYAAN!$A$18:$E$71,5,0)</f>
        <v>2.5000000000000001E-2</v>
      </c>
      <c r="E63" s="17"/>
      <c r="F63" s="16"/>
      <c r="G63" s="16"/>
      <c r="H63" s="102"/>
      <c r="I63" s="102" t="s">
        <v>16</v>
      </c>
      <c r="J63" s="102"/>
      <c r="K63" s="102"/>
      <c r="L63" s="102"/>
      <c r="M63" s="16">
        <f t="shared" si="2"/>
        <v>1.0000000000000002</v>
      </c>
      <c r="N63" s="102"/>
    </row>
    <row r="64" spans="1:14" x14ac:dyDescent="0.4">
      <c r="A64" s="92"/>
      <c r="B64" s="104"/>
      <c r="C64" s="103"/>
      <c r="D64" s="17"/>
      <c r="E64" s="17"/>
      <c r="F64" s="16"/>
      <c r="G64" s="16"/>
      <c r="H64" s="102"/>
      <c r="I64" s="102"/>
      <c r="J64" s="102"/>
      <c r="K64" s="102"/>
      <c r="L64" s="102"/>
      <c r="M64" s="16"/>
      <c r="N64" s="102"/>
    </row>
    <row r="65" spans="1:14" s="2" customFormat="1" x14ac:dyDescent="0.4">
      <c r="A65" s="3"/>
      <c r="B65" s="48" t="s">
        <v>100</v>
      </c>
      <c r="C65" s="49" t="s">
        <v>48</v>
      </c>
      <c r="D65" s="51">
        <f>SUM(D66:D68)</f>
        <v>0.05</v>
      </c>
      <c r="E65" s="51"/>
      <c r="F65" s="54"/>
      <c r="G65" s="54"/>
      <c r="H65" s="59"/>
      <c r="I65" s="59"/>
      <c r="J65" s="59"/>
      <c r="K65" s="59"/>
      <c r="L65" s="59"/>
      <c r="M65" s="54">
        <f>SUM(M66:M68)</f>
        <v>3.4</v>
      </c>
      <c r="N65" s="59"/>
    </row>
    <row r="66" spans="1:14" x14ac:dyDescent="0.4">
      <c r="A66" s="99" t="s">
        <v>121</v>
      </c>
      <c r="B66" s="100" t="s">
        <v>6</v>
      </c>
      <c r="C66" s="101" t="str">
        <f>VLOOKUP($A66,[3]PERTANYAAN!$A$18:$E$71,3,0)</f>
        <v>Ekspektasi Salary (Mengukur Budget &amp; Skill)</v>
      </c>
      <c r="D66" s="46">
        <f>VLOOKUP($A66,[3]PERTANYAAN!$A$18:$E$71,5,0)</f>
        <v>0.04</v>
      </c>
      <c r="E66" s="17"/>
      <c r="F66" s="16"/>
      <c r="G66" s="16"/>
      <c r="H66" s="102"/>
      <c r="I66" s="102"/>
      <c r="J66" s="102" t="s">
        <v>16</v>
      </c>
      <c r="K66" s="102"/>
      <c r="L66" s="102"/>
      <c r="M66" s="16">
        <f t="shared" ref="M66:M67" si="3">IF(H66="V",$D66*H$15,IF(I66="V",$D66*I$15,IF(J66="V",$D66*J$15,IF(K66="V",$D66*K$15,IF(L66="V",$D66*L$15,0)))))*100</f>
        <v>2.4</v>
      </c>
      <c r="N66" s="102" t="s">
        <v>185</v>
      </c>
    </row>
    <row r="67" spans="1:14" x14ac:dyDescent="0.4">
      <c r="A67" s="99" t="s">
        <v>122</v>
      </c>
      <c r="B67" s="100" t="s">
        <v>6</v>
      </c>
      <c r="C67" s="101" t="str">
        <f>VLOOKUP($A67,[3]PERTANYAAN!$A$18:$E$71,3,0)</f>
        <v>Tujuan Karir</v>
      </c>
      <c r="D67" s="46">
        <f>VLOOKUP($A67,[3]PERTANYAAN!$A$18:$E$71,5,0)</f>
        <v>0.01</v>
      </c>
      <c r="E67" s="17"/>
      <c r="F67" s="16"/>
      <c r="G67" s="16"/>
      <c r="H67" s="102"/>
      <c r="I67" s="102"/>
      <c r="J67" s="102"/>
      <c r="K67" s="102"/>
      <c r="L67" s="102" t="s">
        <v>16</v>
      </c>
      <c r="M67" s="16">
        <f t="shared" si="3"/>
        <v>1</v>
      </c>
      <c r="N67" s="102"/>
    </row>
    <row r="68" spans="1:14" x14ac:dyDescent="0.4">
      <c r="A68" s="99"/>
      <c r="B68" s="104"/>
      <c r="C68" s="103"/>
      <c r="D68" s="17"/>
      <c r="E68" s="17"/>
      <c r="F68" s="16"/>
      <c r="G68" s="16"/>
      <c r="H68" s="102"/>
      <c r="I68" s="102"/>
      <c r="J68" s="102"/>
      <c r="K68" s="102"/>
      <c r="L68" s="102"/>
      <c r="M68" s="16"/>
      <c r="N68" s="102"/>
    </row>
    <row r="69" spans="1:14" s="2" customFormat="1" x14ac:dyDescent="0.4">
      <c r="A69" s="3"/>
      <c r="B69" s="48" t="s">
        <v>101</v>
      </c>
      <c r="C69" s="49" t="s">
        <v>134</v>
      </c>
      <c r="D69" s="51">
        <f>SUM(D70:D70)</f>
        <v>0.05</v>
      </c>
      <c r="E69" s="51"/>
      <c r="F69" s="54"/>
      <c r="G69" s="54"/>
      <c r="H69" s="59"/>
      <c r="I69" s="59"/>
      <c r="J69" s="59"/>
      <c r="K69" s="59"/>
      <c r="L69" s="59"/>
      <c r="M69" s="54">
        <f>SUM(M70)</f>
        <v>0</v>
      </c>
      <c r="N69" s="59"/>
    </row>
    <row r="70" spans="1:14" x14ac:dyDescent="0.4">
      <c r="A70" s="99" t="s">
        <v>123</v>
      </c>
      <c r="B70" s="100" t="s">
        <v>6</v>
      </c>
      <c r="C70" s="101" t="str">
        <f>VLOOKUP($A70,[3]PERTANYAAN!$A$18:$E$71,3,0)</f>
        <v>Pertanyaan Spesifik User</v>
      </c>
      <c r="D70" s="46">
        <f>VLOOKUP($A70,[3]PERTANYAAN!$A$18:$E$71,5,0)</f>
        <v>0.05</v>
      </c>
      <c r="E70" s="17"/>
      <c r="F70" s="16"/>
      <c r="G70" s="16"/>
      <c r="H70" s="102"/>
      <c r="I70" s="102"/>
      <c r="J70" s="102"/>
      <c r="K70" s="102"/>
      <c r="L70" s="102"/>
      <c r="M70" s="16">
        <f t="shared" ref="M70" si="4">IF(H70="V",$D70*H$15,IF(I70="V",$D70*I$15,IF(J70="V",$D70*J$15,IF(K70="V",$D70*K$15,IF(L70="V",$D70*L$15,0)))))*100</f>
        <v>0</v>
      </c>
      <c r="N70" s="102"/>
    </row>
    <row r="71" spans="1:14" x14ac:dyDescent="0.4">
      <c r="B71" s="105"/>
      <c r="C71" s="106"/>
      <c r="D71" s="22"/>
      <c r="E71" s="22"/>
      <c r="F71" s="21"/>
      <c r="G71" s="21"/>
      <c r="H71" s="107"/>
      <c r="I71" s="107"/>
      <c r="J71" s="107"/>
      <c r="K71" s="107"/>
      <c r="L71" s="107"/>
      <c r="M71" s="21"/>
      <c r="N71" s="107"/>
    </row>
    <row r="73" spans="1:14" x14ac:dyDescent="0.4">
      <c r="A73" s="94" t="s">
        <v>186</v>
      </c>
      <c r="C73" s="108" t="s">
        <v>187</v>
      </c>
      <c r="N73" s="109" t="s">
        <v>188</v>
      </c>
    </row>
    <row r="74" spans="1:14" x14ac:dyDescent="0.4">
      <c r="C74" s="108"/>
      <c r="N74" s="109"/>
    </row>
    <row r="76" spans="1:14" x14ac:dyDescent="0.4">
      <c r="A76" s="94" t="s">
        <v>189</v>
      </c>
      <c r="C76" s="108" t="s">
        <v>190</v>
      </c>
      <c r="N76" s="108" t="s">
        <v>191</v>
      </c>
    </row>
    <row r="77" spans="1:14" x14ac:dyDescent="0.4">
      <c r="C77" s="108"/>
      <c r="N77" s="108"/>
    </row>
  </sheetData>
  <mergeCells count="12">
    <mergeCell ref="M13:M14"/>
    <mergeCell ref="N13:N14"/>
    <mergeCell ref="C73:C74"/>
    <mergeCell ref="N73:N74"/>
    <mergeCell ref="C76:C77"/>
    <mergeCell ref="N76:N77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04B6-D549-47F0-B4ED-3444BE71204D}">
  <sheetPr>
    <tabColor theme="8" tint="0.39997558519241921"/>
  </sheetPr>
  <dimension ref="A1:N77"/>
  <sheetViews>
    <sheetView zoomScaleNormal="100" workbookViewId="0">
      <pane xSplit="1" ySplit="14" topLeftCell="B15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C13" sqref="C13:C14"/>
    </sheetView>
  </sheetViews>
  <sheetFormatPr defaultRowHeight="14.6" outlineLevelRow="1" x14ac:dyDescent="0.4"/>
  <cols>
    <col min="1" max="1" width="17.69140625" style="93" customWidth="1"/>
    <col min="2" max="2" width="4.3046875" style="92" bestFit="1" customWidth="1"/>
    <col min="3" max="3" width="40.07421875" style="93" bestFit="1" customWidth="1"/>
    <col min="4" max="4" width="9.23046875" style="5"/>
    <col min="5" max="5" width="1.69140625" style="5" customWidth="1"/>
    <col min="6" max="7" width="9.23046875" style="4"/>
    <col min="8" max="12" width="9.23046875" style="94"/>
    <col min="13" max="13" width="9.23046875" style="4"/>
    <col min="14" max="14" width="54.53515625" style="94" bestFit="1" customWidth="1"/>
    <col min="15" max="16384" width="9.23046875" style="93"/>
  </cols>
  <sheetData>
    <row r="1" spans="1:14" x14ac:dyDescent="0.4">
      <c r="A1" s="2" t="s">
        <v>125</v>
      </c>
    </row>
    <row r="2" spans="1:14" x14ac:dyDescent="0.4">
      <c r="A2" s="2" t="s">
        <v>0</v>
      </c>
    </row>
    <row r="5" spans="1:14" x14ac:dyDescent="0.4">
      <c r="A5" s="2" t="s">
        <v>1</v>
      </c>
      <c r="B5" s="92" t="s">
        <v>29</v>
      </c>
      <c r="C5" s="2" t="s">
        <v>162</v>
      </c>
    </row>
    <row r="6" spans="1:14" x14ac:dyDescent="0.4">
      <c r="A6" s="2" t="s">
        <v>20</v>
      </c>
      <c r="B6" s="92" t="s">
        <v>29</v>
      </c>
      <c r="C6" s="93" t="s">
        <v>31</v>
      </c>
      <c r="L6" s="26" t="s">
        <v>61</v>
      </c>
      <c r="M6" s="94"/>
    </row>
    <row r="7" spans="1:14" x14ac:dyDescent="0.4">
      <c r="A7" s="2" t="s">
        <v>32</v>
      </c>
      <c r="B7" s="92" t="s">
        <v>29</v>
      </c>
      <c r="C7" s="93" t="s">
        <v>192</v>
      </c>
      <c r="L7" s="94" t="s">
        <v>39</v>
      </c>
      <c r="M7" s="94" t="s">
        <v>29</v>
      </c>
      <c r="N7" s="95" t="s">
        <v>69</v>
      </c>
    </row>
    <row r="8" spans="1:14" x14ac:dyDescent="0.4">
      <c r="A8" s="2" t="s">
        <v>34</v>
      </c>
      <c r="B8" s="92" t="s">
        <v>29</v>
      </c>
      <c r="C8" s="93" t="s">
        <v>35</v>
      </c>
      <c r="L8" s="94" t="s">
        <v>40</v>
      </c>
      <c r="M8" s="94" t="s">
        <v>29</v>
      </c>
      <c r="N8" s="95" t="s">
        <v>70</v>
      </c>
    </row>
    <row r="9" spans="1:14" x14ac:dyDescent="0.4">
      <c r="A9" s="2" t="s">
        <v>28</v>
      </c>
      <c r="B9" s="92" t="s">
        <v>29</v>
      </c>
      <c r="C9" s="93" t="s">
        <v>193</v>
      </c>
      <c r="L9" s="94" t="s">
        <v>41</v>
      </c>
      <c r="M9" s="94" t="s">
        <v>29</v>
      </c>
      <c r="N9" s="95" t="s">
        <v>71</v>
      </c>
    </row>
    <row r="10" spans="1:14" x14ac:dyDescent="0.4">
      <c r="A10" s="2" t="s">
        <v>38</v>
      </c>
      <c r="B10" s="92" t="s">
        <v>29</v>
      </c>
      <c r="C10" s="2" t="s">
        <v>177</v>
      </c>
      <c r="D10" s="6" t="s">
        <v>92</v>
      </c>
      <c r="L10" s="94" t="s">
        <v>42</v>
      </c>
      <c r="M10" s="94" t="s">
        <v>29</v>
      </c>
      <c r="N10" s="95" t="s">
        <v>72</v>
      </c>
    </row>
    <row r="11" spans="1:14" x14ac:dyDescent="0.4">
      <c r="A11" s="2" t="s">
        <v>67</v>
      </c>
      <c r="B11" s="92" t="s">
        <v>29</v>
      </c>
      <c r="C11" s="24">
        <f>M16</f>
        <v>67.2</v>
      </c>
      <c r="L11" s="94" t="s">
        <v>43</v>
      </c>
      <c r="M11" s="94" t="s">
        <v>29</v>
      </c>
      <c r="N11" s="95" t="s">
        <v>73</v>
      </c>
    </row>
    <row r="13" spans="1:14" s="2" customFormat="1" x14ac:dyDescent="0.4">
      <c r="A13" s="67" t="s">
        <v>124</v>
      </c>
      <c r="B13" s="68" t="s">
        <v>2</v>
      </c>
      <c r="C13" s="68" t="s">
        <v>3</v>
      </c>
      <c r="D13" s="70" t="s">
        <v>19</v>
      </c>
      <c r="E13" s="42"/>
      <c r="F13" s="65" t="s">
        <v>18</v>
      </c>
      <c r="G13" s="65"/>
      <c r="H13" s="68" t="s">
        <v>37</v>
      </c>
      <c r="I13" s="68"/>
      <c r="J13" s="68"/>
      <c r="K13" s="68"/>
      <c r="L13" s="68"/>
      <c r="M13" s="65" t="s">
        <v>17</v>
      </c>
      <c r="N13" s="66" t="s">
        <v>61</v>
      </c>
    </row>
    <row r="14" spans="1:14" s="2" customFormat="1" x14ac:dyDescent="0.4">
      <c r="A14" s="67"/>
      <c r="B14" s="68"/>
      <c r="C14" s="96"/>
      <c r="D14" s="71"/>
      <c r="E14" s="44"/>
      <c r="F14" s="43" t="s">
        <v>14</v>
      </c>
      <c r="G14" s="43" t="s">
        <v>15</v>
      </c>
      <c r="H14" s="41" t="s">
        <v>39</v>
      </c>
      <c r="I14" s="41" t="s">
        <v>40</v>
      </c>
      <c r="J14" s="41" t="s">
        <v>41</v>
      </c>
      <c r="K14" s="41" t="s">
        <v>42</v>
      </c>
      <c r="L14" s="41" t="s">
        <v>43</v>
      </c>
      <c r="M14" s="65"/>
      <c r="N14" s="66"/>
    </row>
    <row r="15" spans="1:14" s="2" customFormat="1" x14ac:dyDescent="0.4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0"/>
    </row>
    <row r="16" spans="1:14" s="2" customFormat="1" x14ac:dyDescent="0.4">
      <c r="A16" s="3"/>
      <c r="B16" s="39"/>
      <c r="C16" s="63" t="s">
        <v>65</v>
      </c>
      <c r="D16" s="39"/>
      <c r="E16" s="39"/>
      <c r="F16" s="61"/>
      <c r="G16" s="61"/>
      <c r="H16" s="39"/>
      <c r="I16" s="39"/>
      <c r="J16" s="39"/>
      <c r="K16" s="39"/>
      <c r="L16" s="39"/>
      <c r="M16" s="40">
        <f>M17+M21+M27+M43+M60+M65+M69</f>
        <v>67.2</v>
      </c>
      <c r="N16" s="39"/>
    </row>
    <row r="17" spans="1:14" x14ac:dyDescent="0.4">
      <c r="B17" s="48" t="s">
        <v>66</v>
      </c>
      <c r="C17" s="49" t="s">
        <v>8</v>
      </c>
      <c r="D17" s="51">
        <f>SUM(D18:D19)</f>
        <v>0.1</v>
      </c>
      <c r="E17" s="51"/>
      <c r="F17" s="54"/>
      <c r="G17" s="54"/>
      <c r="H17" s="97"/>
      <c r="I17" s="97"/>
      <c r="J17" s="97"/>
      <c r="K17" s="97"/>
      <c r="L17" s="97"/>
      <c r="M17" s="54">
        <f>SUM(M18:M20)</f>
        <v>4</v>
      </c>
      <c r="N17" s="97"/>
    </row>
    <row r="18" spans="1:14" x14ac:dyDescent="0.4">
      <c r="A18" s="99" t="s">
        <v>102</v>
      </c>
      <c r="B18" s="100">
        <v>1</v>
      </c>
      <c r="C18" s="101" t="str">
        <f>VLOOKUP($A18,[3]PERTANYAAN!$A$18:$E$71,3,0)</f>
        <v>Pengalaman di dalam Daniswara Group</v>
      </c>
      <c r="D18" s="46">
        <f>VLOOKUP($A18,[3]PERTANYAAN!$A$18:$E$71,5,0)</f>
        <v>0.06</v>
      </c>
      <c r="E18" s="17"/>
      <c r="F18" s="16"/>
      <c r="G18" s="16" t="s">
        <v>16</v>
      </c>
      <c r="H18" s="102"/>
      <c r="I18" s="102"/>
      <c r="J18" s="102"/>
      <c r="K18" s="102"/>
      <c r="L18" s="102"/>
      <c r="M18" s="16">
        <f>IF(F18="V",D18*100,0)</f>
        <v>0</v>
      </c>
      <c r="N18" s="102"/>
    </row>
    <row r="19" spans="1:14" x14ac:dyDescent="0.4">
      <c r="A19" s="99" t="s">
        <v>103</v>
      </c>
      <c r="B19" s="100">
        <f>B18+1</f>
        <v>2</v>
      </c>
      <c r="C19" s="101" t="str">
        <f>VLOOKUP($A19,[3]PERTANYAAN!$A$18:$E$71,3,0)</f>
        <v>Pengalaman di luar Daniswara Group</v>
      </c>
      <c r="D19" s="46">
        <f>VLOOKUP($A19,[3]PERTANYAAN!$A$18:$E$71,5,0)</f>
        <v>0.04</v>
      </c>
      <c r="E19" s="17"/>
      <c r="F19" s="16" t="s">
        <v>16</v>
      </c>
      <c r="G19" s="16"/>
      <c r="H19" s="102"/>
      <c r="I19" s="102"/>
      <c r="J19" s="102"/>
      <c r="K19" s="102"/>
      <c r="L19" s="102"/>
      <c r="M19" s="16">
        <f>IF(F19="V",D19*100,0)</f>
        <v>4</v>
      </c>
      <c r="N19" s="102" t="s">
        <v>194</v>
      </c>
    </row>
    <row r="20" spans="1:14" x14ac:dyDescent="0.4">
      <c r="A20" s="92"/>
      <c r="B20" s="104"/>
      <c r="C20" s="103"/>
      <c r="D20" s="17"/>
      <c r="E20" s="17"/>
      <c r="F20" s="16"/>
      <c r="G20" s="16"/>
      <c r="H20" s="102"/>
      <c r="I20" s="102"/>
      <c r="J20" s="102"/>
      <c r="K20" s="102"/>
      <c r="L20" s="102"/>
      <c r="M20" s="16"/>
      <c r="N20" s="102"/>
    </row>
    <row r="21" spans="1:14" x14ac:dyDescent="0.4">
      <c r="A21" s="92"/>
      <c r="B21" s="48" t="s">
        <v>42</v>
      </c>
      <c r="C21" s="49" t="s">
        <v>9</v>
      </c>
      <c r="D21" s="51">
        <f>SUM(D22:D25)</f>
        <v>0.05</v>
      </c>
      <c r="E21" s="51"/>
      <c r="F21" s="54"/>
      <c r="G21" s="54"/>
      <c r="H21" s="97"/>
      <c r="I21" s="97"/>
      <c r="J21" s="97"/>
      <c r="K21" s="97"/>
      <c r="L21" s="97"/>
      <c r="M21" s="54">
        <f>SUM(M22:M25)</f>
        <v>4</v>
      </c>
      <c r="N21" s="97"/>
    </row>
    <row r="22" spans="1:14" x14ac:dyDescent="0.4">
      <c r="A22" s="99" t="s">
        <v>104</v>
      </c>
      <c r="B22" s="100">
        <v>1</v>
      </c>
      <c r="C22" s="101" t="str">
        <f>VLOOKUP($A22,[3]PERTANYAAN!$A$18:$E$71,3,0)</f>
        <v>Identitas (KTP &amp; KK)</v>
      </c>
      <c r="D22" s="46">
        <f>VLOOKUP($A22,[3]PERTANYAAN!$A$18:$E$71,5,0)</f>
        <v>0.01</v>
      </c>
      <c r="E22" s="17"/>
      <c r="F22" s="16" t="s">
        <v>16</v>
      </c>
      <c r="G22" s="16"/>
      <c r="H22" s="102"/>
      <c r="I22" s="102"/>
      <c r="J22" s="102"/>
      <c r="K22" s="102"/>
      <c r="L22" s="102"/>
      <c r="M22" s="16">
        <f>IF(F22="V",D22*100,0)</f>
        <v>1</v>
      </c>
      <c r="N22" s="102"/>
    </row>
    <row r="23" spans="1:14" x14ac:dyDescent="0.4">
      <c r="A23" s="99" t="s">
        <v>105</v>
      </c>
      <c r="B23" s="100">
        <f>B22+1</f>
        <v>2</v>
      </c>
      <c r="C23" s="101" t="str">
        <f>VLOOKUP($A23,[3]PERTANYAAN!$A$18:$E$71,3,0)</f>
        <v>SIM A (utk jabatan di Divisi Operasi)</v>
      </c>
      <c r="D23" s="46">
        <f>VLOOKUP($A23,[3]PERTANYAAN!$A$18:$E$71,5,0)</f>
        <v>0.02</v>
      </c>
      <c r="E23" s="17"/>
      <c r="F23" s="16" t="s">
        <v>16</v>
      </c>
      <c r="G23" s="16"/>
      <c r="H23" s="102"/>
      <c r="I23" s="102"/>
      <c r="J23" s="102"/>
      <c r="K23" s="102"/>
      <c r="L23" s="102"/>
      <c r="M23" s="16">
        <f>IF(F23="V",D23*100,0)</f>
        <v>2</v>
      </c>
      <c r="N23" s="102"/>
    </row>
    <row r="24" spans="1:14" x14ac:dyDescent="0.4">
      <c r="A24" s="99" t="s">
        <v>106</v>
      </c>
      <c r="B24" s="100">
        <f t="shared" ref="B24:B25" si="0">B23+1</f>
        <v>3</v>
      </c>
      <c r="C24" s="101" t="str">
        <f>VLOOKUP($A24,[3]PERTANYAAN!$A$18:$E$71,3,0)</f>
        <v>SIM C</v>
      </c>
      <c r="D24" s="46">
        <f>VLOOKUP($A24,[3]PERTANYAAN!$A$18:$E$71,5,0)</f>
        <v>0.01</v>
      </c>
      <c r="E24" s="17"/>
      <c r="F24" s="16"/>
      <c r="G24" s="16" t="s">
        <v>16</v>
      </c>
      <c r="H24" s="102"/>
      <c r="I24" s="102"/>
      <c r="J24" s="102"/>
      <c r="K24" s="102"/>
      <c r="L24" s="102"/>
      <c r="M24" s="16">
        <f>IF(F24="V",D24*100,0)</f>
        <v>0</v>
      </c>
      <c r="N24" s="102"/>
    </row>
    <row r="25" spans="1:14" x14ac:dyDescent="0.4">
      <c r="A25" s="99" t="s">
        <v>107</v>
      </c>
      <c r="B25" s="100">
        <f t="shared" si="0"/>
        <v>4</v>
      </c>
      <c r="C25" s="101" t="str">
        <f>VLOOKUP($A25,[3]PERTANYAAN!$A$18:$E$71,3,0)</f>
        <v>NPWP</v>
      </c>
      <c r="D25" s="46">
        <f>VLOOKUP($A25,[3]PERTANYAAN!$A$18:$E$71,5,0)</f>
        <v>0.01</v>
      </c>
      <c r="E25" s="17"/>
      <c r="F25" s="16" t="s">
        <v>16</v>
      </c>
      <c r="G25" s="16"/>
      <c r="H25" s="102"/>
      <c r="I25" s="102"/>
      <c r="J25" s="102"/>
      <c r="K25" s="102"/>
      <c r="L25" s="102"/>
      <c r="M25" s="16">
        <f>IF(F25="V",D25*100,0)</f>
        <v>1</v>
      </c>
      <c r="N25" s="102"/>
    </row>
    <row r="26" spans="1:14" x14ac:dyDescent="0.4">
      <c r="A26" s="92"/>
      <c r="B26" s="104"/>
      <c r="C26" s="103"/>
      <c r="D26" s="17"/>
      <c r="E26" s="17"/>
      <c r="F26" s="16"/>
      <c r="G26" s="16"/>
      <c r="H26" s="102"/>
      <c r="I26" s="102"/>
      <c r="J26" s="102"/>
      <c r="K26" s="102"/>
      <c r="L26" s="102"/>
      <c r="M26" s="16"/>
      <c r="N26" s="102"/>
    </row>
    <row r="27" spans="1:14" x14ac:dyDescent="0.4">
      <c r="A27" s="92"/>
      <c r="B27" s="48" t="s">
        <v>97</v>
      </c>
      <c r="C27" s="49" t="s">
        <v>21</v>
      </c>
      <c r="D27" s="51">
        <f>D28</f>
        <v>0.35000000000000003</v>
      </c>
      <c r="E27" s="57"/>
      <c r="F27" s="60"/>
      <c r="G27" s="60"/>
      <c r="H27" s="97"/>
      <c r="I27" s="97"/>
      <c r="J27" s="97"/>
      <c r="K27" s="97"/>
      <c r="L27" s="97"/>
      <c r="M27" s="54">
        <f>M28</f>
        <v>33</v>
      </c>
      <c r="N27" s="97"/>
    </row>
    <row r="28" spans="1:14" x14ac:dyDescent="0.4">
      <c r="A28" s="99" t="s">
        <v>108</v>
      </c>
      <c r="B28" s="100">
        <v>1</v>
      </c>
      <c r="C28" s="101" t="str">
        <f>VLOOKUP($A28,[3]PERTANYAAN!$A$18:$E$71,3,0)</f>
        <v>Operasi / Logistik</v>
      </c>
      <c r="D28" s="46">
        <f>VLOOKUP($A28,[3]PERTANYAAN!$A$18:$E$71,5,0)</f>
        <v>0.35000000000000003</v>
      </c>
      <c r="E28" s="17"/>
      <c r="F28" s="16"/>
      <c r="G28" s="16"/>
      <c r="H28" s="102"/>
      <c r="I28" s="102"/>
      <c r="J28" s="102"/>
      <c r="K28" s="102"/>
      <c r="L28" s="102"/>
      <c r="M28" s="16">
        <f>SUM(M29:M33)</f>
        <v>33</v>
      </c>
      <c r="N28" s="102"/>
    </row>
    <row r="29" spans="1:14" x14ac:dyDescent="0.4">
      <c r="A29" s="99" t="s">
        <v>109</v>
      </c>
      <c r="B29" s="100" t="s">
        <v>6</v>
      </c>
      <c r="C29" s="101" t="str">
        <f>VLOOKUP($A29,[3]PERTANYAAN!$A$18:$E$71,3,0)</f>
        <v>Skill Mengemudi</v>
      </c>
      <c r="D29" s="46">
        <f>VLOOKUP($A29,[3]PERTANYAAN!$A$18:$E$71,5,0)</f>
        <v>0.15</v>
      </c>
      <c r="E29" s="17"/>
      <c r="F29" s="16"/>
      <c r="G29" s="16"/>
      <c r="H29" s="102"/>
      <c r="I29" s="102"/>
      <c r="J29" s="102"/>
      <c r="K29" s="102"/>
      <c r="L29" s="102" t="s">
        <v>16</v>
      </c>
      <c r="M29" s="16">
        <f>IF(H29="V",$D29*H$15,IF(I29="V",$D29*I$15,IF(J29="V",$D29*J$15,IF(K29="V",$D29*K$15,IF(L29="V",$D29*L$15,0)))))*100</f>
        <v>15</v>
      </c>
      <c r="N29" s="102" t="s">
        <v>195</v>
      </c>
    </row>
    <row r="30" spans="1:14" x14ac:dyDescent="0.4">
      <c r="A30" s="99" t="s">
        <v>110</v>
      </c>
      <c r="B30" s="100" t="s">
        <v>6</v>
      </c>
      <c r="C30" s="101" t="str">
        <f>VLOOKUP($A30,[3]PERTANYAAN!$A$18:$E$71,3,0)</f>
        <v>Flow Administrasi Logistik</v>
      </c>
      <c r="D30" s="46">
        <f>VLOOKUP($A30,[3]PERTANYAAN!$A$18:$E$71,5,0)</f>
        <v>0.1</v>
      </c>
      <c r="E30" s="17"/>
      <c r="F30" s="16"/>
      <c r="G30" s="16"/>
      <c r="H30" s="102"/>
      <c r="I30" s="102"/>
      <c r="J30" s="102"/>
      <c r="K30" s="102" t="s">
        <v>16</v>
      </c>
      <c r="L30" s="102"/>
      <c r="M30" s="16">
        <f t="shared" ref="M30:M32" si="1">IF(H30="V",$D30*H$15,IF(I30="V",$D30*I$15,IF(J30="V",$D30*J$15,IF(K30="V",$D30*K$15,IF(L30="V",$D30*L$15,0)))))*100</f>
        <v>8.0000000000000018</v>
      </c>
      <c r="N30" s="102" t="s">
        <v>196</v>
      </c>
    </row>
    <row r="31" spans="1:14" x14ac:dyDescent="0.4">
      <c r="A31" s="99" t="s">
        <v>111</v>
      </c>
      <c r="B31" s="100" t="s">
        <v>6</v>
      </c>
      <c r="C31" s="101" t="str">
        <f>VLOOKUP($A31,[3]PERTANYAAN!$A$18:$E$71,3,0)</f>
        <v>Pengetahuan terkait logistik</v>
      </c>
      <c r="D31" s="46">
        <f>VLOOKUP($A31,[3]PERTANYAAN!$A$18:$E$71,5,0)</f>
        <v>2.5000000000000001E-2</v>
      </c>
      <c r="E31" s="17"/>
      <c r="F31" s="16"/>
      <c r="G31" s="16"/>
      <c r="H31" s="102"/>
      <c r="I31" s="102"/>
      <c r="J31" s="102"/>
      <c r="K31" s="102"/>
      <c r="L31" s="102" t="s">
        <v>16</v>
      </c>
      <c r="M31" s="16">
        <f t="shared" si="1"/>
        <v>2.5</v>
      </c>
      <c r="N31" s="102"/>
    </row>
    <row r="32" spans="1:14" x14ac:dyDescent="0.4">
      <c r="A32" s="99" t="s">
        <v>112</v>
      </c>
      <c r="B32" s="100" t="s">
        <v>6</v>
      </c>
      <c r="C32" s="101" t="str">
        <f>VLOOKUP($A32,[3]PERTANYAAN!$A$18:$E$71,3,0)</f>
        <v>Pengalaman di Bongkar Muat</v>
      </c>
      <c r="D32" s="46">
        <f>VLOOKUP($A32,[3]PERTANYAAN!$A$18:$E$71,5,0)</f>
        <v>7.4999999999999997E-2</v>
      </c>
      <c r="E32" s="17"/>
      <c r="F32" s="16"/>
      <c r="G32" s="16"/>
      <c r="H32" s="102"/>
      <c r="I32" s="102"/>
      <c r="J32" s="102"/>
      <c r="K32" s="102"/>
      <c r="L32" s="102" t="s">
        <v>16</v>
      </c>
      <c r="M32" s="16">
        <f t="shared" si="1"/>
        <v>7.5</v>
      </c>
      <c r="N32" s="102" t="s">
        <v>197</v>
      </c>
    </row>
    <row r="33" spans="1:14" x14ac:dyDescent="0.4">
      <c r="A33" s="92"/>
      <c r="B33" s="100"/>
      <c r="C33" s="103"/>
      <c r="D33" s="17"/>
      <c r="E33" s="17"/>
      <c r="F33" s="16"/>
      <c r="G33" s="16"/>
      <c r="H33" s="102"/>
      <c r="I33" s="102"/>
      <c r="J33" s="102"/>
      <c r="K33" s="102"/>
      <c r="L33" s="102"/>
      <c r="M33" s="16"/>
      <c r="N33" s="102"/>
    </row>
    <row r="34" spans="1:14" hidden="1" outlineLevel="1" x14ac:dyDescent="0.4">
      <c r="A34" s="92"/>
      <c r="B34" s="100">
        <f>B28+1</f>
        <v>2</v>
      </c>
      <c r="C34" s="103" t="s">
        <v>22</v>
      </c>
      <c r="D34" s="17">
        <f>SUM(D35:D37)</f>
        <v>0.35</v>
      </c>
      <c r="E34" s="17"/>
      <c r="F34" s="16"/>
      <c r="G34" s="16"/>
      <c r="H34" s="102"/>
      <c r="I34" s="102"/>
      <c r="J34" s="102"/>
      <c r="K34" s="102"/>
      <c r="L34" s="102"/>
      <c r="M34" s="16"/>
      <c r="N34" s="102"/>
    </row>
    <row r="35" spans="1:14" hidden="1" outlineLevel="1" x14ac:dyDescent="0.4">
      <c r="A35" s="92"/>
      <c r="B35" s="100" t="s">
        <v>6</v>
      </c>
      <c r="C35" s="103" t="s">
        <v>44</v>
      </c>
      <c r="D35" s="17">
        <v>0.15</v>
      </c>
      <c r="E35" s="17"/>
      <c r="F35" s="16"/>
      <c r="G35" s="16"/>
      <c r="H35" s="102"/>
      <c r="I35" s="102"/>
      <c r="J35" s="102"/>
      <c r="K35" s="102"/>
      <c r="L35" s="102"/>
      <c r="M35" s="16"/>
      <c r="N35" s="102"/>
    </row>
    <row r="36" spans="1:14" hidden="1" outlineLevel="1" x14ac:dyDescent="0.4">
      <c r="A36" s="92"/>
      <c r="B36" s="100" t="s">
        <v>6</v>
      </c>
      <c r="C36" s="103" t="s">
        <v>50</v>
      </c>
      <c r="D36" s="17">
        <v>0.2</v>
      </c>
      <c r="E36" s="17"/>
      <c r="F36" s="16"/>
      <c r="G36" s="16"/>
      <c r="H36" s="102"/>
      <c r="I36" s="102"/>
      <c r="J36" s="102"/>
      <c r="K36" s="102"/>
      <c r="L36" s="102"/>
      <c r="M36" s="16"/>
      <c r="N36" s="102"/>
    </row>
    <row r="37" spans="1:14" hidden="1" outlineLevel="1" x14ac:dyDescent="0.4">
      <c r="A37" s="92"/>
      <c r="B37" s="100"/>
      <c r="C37" s="103"/>
      <c r="D37" s="17"/>
      <c r="E37" s="17"/>
      <c r="F37" s="16"/>
      <c r="G37" s="16"/>
      <c r="H37" s="102"/>
      <c r="I37" s="102"/>
      <c r="J37" s="102"/>
      <c r="K37" s="102"/>
      <c r="L37" s="102"/>
      <c r="M37" s="16"/>
      <c r="N37" s="102"/>
    </row>
    <row r="38" spans="1:14" hidden="1" outlineLevel="1" x14ac:dyDescent="0.4">
      <c r="A38" s="92"/>
      <c r="B38" s="104">
        <v>3</v>
      </c>
      <c r="C38" s="103" t="s">
        <v>23</v>
      </c>
      <c r="D38" s="17"/>
      <c r="E38" s="17"/>
      <c r="F38" s="16"/>
      <c r="G38" s="16"/>
      <c r="H38" s="102"/>
      <c r="I38" s="102"/>
      <c r="J38" s="102"/>
      <c r="K38" s="102"/>
      <c r="L38" s="102"/>
      <c r="M38" s="16"/>
      <c r="N38" s="102"/>
    </row>
    <row r="39" spans="1:14" hidden="1" outlineLevel="1" x14ac:dyDescent="0.4">
      <c r="A39" s="92"/>
      <c r="B39" s="100" t="s">
        <v>6</v>
      </c>
      <c r="C39" s="103" t="s">
        <v>52</v>
      </c>
      <c r="D39" s="17"/>
      <c r="E39" s="17"/>
      <c r="F39" s="16"/>
      <c r="G39" s="16"/>
      <c r="H39" s="102"/>
      <c r="I39" s="102"/>
      <c r="J39" s="102"/>
      <c r="K39" s="102"/>
      <c r="L39" s="102"/>
      <c r="M39" s="16"/>
      <c r="N39" s="102"/>
    </row>
    <row r="40" spans="1:14" hidden="1" outlineLevel="1" x14ac:dyDescent="0.4">
      <c r="A40" s="92"/>
      <c r="B40" s="100" t="s">
        <v>6</v>
      </c>
      <c r="C40" s="103" t="s">
        <v>53</v>
      </c>
      <c r="D40" s="17"/>
      <c r="E40" s="17"/>
      <c r="F40" s="16"/>
      <c r="G40" s="16"/>
      <c r="H40" s="102"/>
      <c r="I40" s="102"/>
      <c r="J40" s="102"/>
      <c r="K40" s="102"/>
      <c r="L40" s="102"/>
      <c r="M40" s="16"/>
      <c r="N40" s="102"/>
    </row>
    <row r="41" spans="1:14" hidden="1" outlineLevel="1" x14ac:dyDescent="0.4">
      <c r="A41" s="92"/>
      <c r="B41" s="100" t="s">
        <v>6</v>
      </c>
      <c r="C41" s="103"/>
      <c r="D41" s="17"/>
      <c r="E41" s="17"/>
      <c r="F41" s="16"/>
      <c r="G41" s="16"/>
      <c r="H41" s="102"/>
      <c r="I41" s="102"/>
      <c r="J41" s="102"/>
      <c r="K41" s="102"/>
      <c r="L41" s="102"/>
      <c r="M41" s="16"/>
      <c r="N41" s="102"/>
    </row>
    <row r="42" spans="1:14" hidden="1" outlineLevel="1" x14ac:dyDescent="0.4">
      <c r="A42" s="92"/>
      <c r="B42" s="104"/>
      <c r="C42" s="103"/>
      <c r="D42" s="17"/>
      <c r="E42" s="17"/>
      <c r="F42" s="16"/>
      <c r="G42" s="16"/>
      <c r="H42" s="102"/>
      <c r="I42" s="102"/>
      <c r="J42" s="102"/>
      <c r="K42" s="102"/>
      <c r="L42" s="102"/>
      <c r="M42" s="16"/>
      <c r="N42" s="102"/>
    </row>
    <row r="43" spans="1:14" s="2" customFormat="1" collapsed="1" x14ac:dyDescent="0.4">
      <c r="A43" s="3"/>
      <c r="B43" s="48" t="s">
        <v>98</v>
      </c>
      <c r="C43" s="49" t="s">
        <v>24</v>
      </c>
      <c r="D43" s="51">
        <f>D44</f>
        <v>0.25</v>
      </c>
      <c r="E43" s="51"/>
      <c r="F43" s="54"/>
      <c r="G43" s="54"/>
      <c r="H43" s="59"/>
      <c r="I43" s="59"/>
      <c r="J43" s="59"/>
      <c r="K43" s="59"/>
      <c r="L43" s="59"/>
      <c r="M43" s="54">
        <f>M44</f>
        <v>15.5</v>
      </c>
      <c r="N43" s="59"/>
    </row>
    <row r="44" spans="1:14" x14ac:dyDescent="0.4">
      <c r="A44" s="92" t="s">
        <v>113</v>
      </c>
      <c r="B44" s="104">
        <v>1</v>
      </c>
      <c r="C44" s="101" t="str">
        <f>VLOOKUP($A44,[3]PERTANYAAN!$A$18:$E$71,3,0)</f>
        <v>Staff</v>
      </c>
      <c r="D44" s="46">
        <f>VLOOKUP($A44,[3]PERTANYAAN!$A$18:$E$71,5,0)</f>
        <v>0.25</v>
      </c>
      <c r="E44" s="17"/>
      <c r="F44" s="16"/>
      <c r="G44" s="16"/>
      <c r="H44" s="102"/>
      <c r="I44" s="102"/>
      <c r="J44" s="102"/>
      <c r="K44" s="102"/>
      <c r="L44" s="102"/>
      <c r="M44" s="16">
        <f>SUM(M45:M48)</f>
        <v>15.5</v>
      </c>
      <c r="N44" s="102"/>
    </row>
    <row r="45" spans="1:14" x14ac:dyDescent="0.4">
      <c r="A45" s="99" t="s">
        <v>114</v>
      </c>
      <c r="B45" s="100" t="s">
        <v>6</v>
      </c>
      <c r="C45" s="101" t="str">
        <f>VLOOKUP($A45,[3]PERTANYAAN!$A$18:$E$71,3,0)</f>
        <v>Kepemimpinan</v>
      </c>
      <c r="D45" s="46">
        <f>VLOOKUP($A45,[3]PERTANYAAN!$A$18:$E$71,5,0)</f>
        <v>2.5000000000000001E-2</v>
      </c>
      <c r="E45" s="17"/>
      <c r="F45" s="16"/>
      <c r="G45" s="16"/>
      <c r="H45" s="102" t="s">
        <v>16</v>
      </c>
      <c r="I45" s="102"/>
      <c r="J45" s="102"/>
      <c r="K45" s="102"/>
      <c r="L45" s="102"/>
      <c r="M45" s="16">
        <f>IF(H45="V",$D45*H$15,IF(I45="V",$D45*I$15,IF(J45="V",$D45*J$15,IF(K45="V",$D45*K$15,IF(L45="V",$D45*L$15,0)))))*100</f>
        <v>0.50000000000000011</v>
      </c>
      <c r="N45" s="102" t="s">
        <v>198</v>
      </c>
    </row>
    <row r="46" spans="1:14" x14ac:dyDescent="0.4">
      <c r="A46" s="99" t="s">
        <v>115</v>
      </c>
      <c r="B46" s="100" t="s">
        <v>6</v>
      </c>
      <c r="C46" s="101" t="str">
        <f>VLOOKUP($A46,[3]PERTANYAAN!$A$18:$E$71,3,0)</f>
        <v>Komunikasi</v>
      </c>
      <c r="D46" s="46">
        <f>VLOOKUP($A46,[3]PERTANYAAN!$A$18:$E$71,5,0)</f>
        <v>0.1</v>
      </c>
      <c r="E46" s="17"/>
      <c r="F46" s="16"/>
      <c r="G46" s="16"/>
      <c r="H46" s="102"/>
      <c r="I46" s="102"/>
      <c r="J46" s="102" t="s">
        <v>16</v>
      </c>
      <c r="K46" s="102"/>
      <c r="L46" s="102"/>
      <c r="M46" s="16">
        <f>IF(H46="V",$D46*H$15,IF(I46="V",$D46*I$15,IF(J46="V",$D46*J$15,IF(K46="V",$D46*K$15,IF(L46="V",$D46*L$15,0)))))*100</f>
        <v>6</v>
      </c>
      <c r="N46" s="102" t="s">
        <v>199</v>
      </c>
    </row>
    <row r="47" spans="1:14" x14ac:dyDescent="0.4">
      <c r="A47" s="99" t="s">
        <v>116</v>
      </c>
      <c r="B47" s="100" t="s">
        <v>6</v>
      </c>
      <c r="C47" s="101" t="str">
        <f>VLOOKUP($A47,[3]PERTANYAAN!$A$18:$E$71,3,0)</f>
        <v>Patuh pada Peraturan / Commitment</v>
      </c>
      <c r="D47" s="46">
        <f>VLOOKUP($A47,[3]PERTANYAAN!$A$18:$E$71,5,0)</f>
        <v>0.05</v>
      </c>
      <c r="E47" s="17"/>
      <c r="F47" s="16"/>
      <c r="G47" s="16"/>
      <c r="H47" s="102"/>
      <c r="I47" s="102"/>
      <c r="J47" s="102" t="s">
        <v>16</v>
      </c>
      <c r="K47" s="102"/>
      <c r="L47" s="102"/>
      <c r="M47" s="16">
        <f>IF(H47="V",$D47*H$15,IF(I47="V",$D47*I$15,IF(J47="V",$D47*J$15,IF(K47="V",$D47*K$15,IF(L47="V",$D47*L$15,0)))))*100</f>
        <v>3</v>
      </c>
      <c r="N47" s="102" t="s">
        <v>200</v>
      </c>
    </row>
    <row r="48" spans="1:14" x14ac:dyDescent="0.4">
      <c r="A48" s="99" t="s">
        <v>117</v>
      </c>
      <c r="B48" s="100" t="s">
        <v>6</v>
      </c>
      <c r="C48" s="101" t="str">
        <f>VLOOKUP($A48,[3]PERTANYAAN!$A$18:$E$71,3,0)</f>
        <v>Determinasi thd tekanan</v>
      </c>
      <c r="D48" s="46">
        <f>VLOOKUP($A48,[3]PERTANYAAN!$A$18:$E$71,5,0)</f>
        <v>7.4999999999999997E-2</v>
      </c>
      <c r="E48" s="17"/>
      <c r="F48" s="16"/>
      <c r="G48" s="16"/>
      <c r="H48" s="102"/>
      <c r="I48" s="102"/>
      <c r="J48" s="102"/>
      <c r="K48" s="102" t="s">
        <v>16</v>
      </c>
      <c r="L48" s="102"/>
      <c r="M48" s="16">
        <f>IF(H48="V",$D48*H$15,IF(I48="V",$D48*I$15,IF(J48="V",$D48*J$15,IF(K48="V",$D48*K$15,IF(L48="V",$D48*L$15,0)))))*100</f>
        <v>6</v>
      </c>
      <c r="N48" s="102" t="s">
        <v>201</v>
      </c>
    </row>
    <row r="49" spans="1:14" x14ac:dyDescent="0.4">
      <c r="A49" s="92"/>
      <c r="B49" s="100"/>
      <c r="C49" s="103"/>
      <c r="D49" s="17"/>
      <c r="E49" s="17"/>
      <c r="F49" s="16"/>
      <c r="G49" s="16"/>
      <c r="H49" s="102"/>
      <c r="I49" s="102"/>
      <c r="J49" s="102"/>
      <c r="K49" s="102"/>
      <c r="L49" s="102"/>
      <c r="M49" s="16"/>
      <c r="N49" s="102"/>
    </row>
    <row r="50" spans="1:14" hidden="1" outlineLevel="1" x14ac:dyDescent="0.4">
      <c r="A50" s="92"/>
      <c r="B50" s="104">
        <v>2</v>
      </c>
      <c r="C50" s="103" t="s">
        <v>26</v>
      </c>
      <c r="D50" s="17"/>
      <c r="E50" s="17"/>
      <c r="F50" s="16"/>
      <c r="G50" s="16"/>
      <c r="H50" s="102"/>
      <c r="I50" s="102"/>
      <c r="J50" s="102"/>
      <c r="K50" s="102"/>
      <c r="L50" s="102"/>
      <c r="M50" s="16"/>
      <c r="N50" s="102"/>
    </row>
    <row r="51" spans="1:14" hidden="1" outlineLevel="1" x14ac:dyDescent="0.4">
      <c r="A51" s="92"/>
      <c r="B51" s="100" t="s">
        <v>6</v>
      </c>
      <c r="C51" s="103" t="s">
        <v>54</v>
      </c>
      <c r="D51" s="17"/>
      <c r="E51" s="17"/>
      <c r="F51" s="16"/>
      <c r="G51" s="16"/>
      <c r="H51" s="102"/>
      <c r="I51" s="102"/>
      <c r="J51" s="102"/>
      <c r="K51" s="102"/>
      <c r="L51" s="102"/>
      <c r="M51" s="16"/>
      <c r="N51" s="102"/>
    </row>
    <row r="52" spans="1:14" hidden="1" outlineLevel="1" x14ac:dyDescent="0.4">
      <c r="A52" s="92"/>
      <c r="B52" s="100" t="s">
        <v>6</v>
      </c>
      <c r="C52" s="103" t="s">
        <v>55</v>
      </c>
      <c r="D52" s="17"/>
      <c r="E52" s="17"/>
      <c r="F52" s="16"/>
      <c r="G52" s="16"/>
      <c r="H52" s="102"/>
      <c r="I52" s="102"/>
      <c r="J52" s="102"/>
      <c r="K52" s="102"/>
      <c r="L52" s="102"/>
      <c r="M52" s="16"/>
      <c r="N52" s="102"/>
    </row>
    <row r="53" spans="1:14" hidden="1" outlineLevel="1" x14ac:dyDescent="0.4">
      <c r="A53" s="92"/>
      <c r="B53" s="100" t="s">
        <v>6</v>
      </c>
      <c r="C53" s="103" t="s">
        <v>56</v>
      </c>
      <c r="D53" s="17"/>
      <c r="E53" s="17"/>
      <c r="F53" s="16"/>
      <c r="G53" s="16"/>
      <c r="H53" s="102"/>
      <c r="I53" s="102"/>
      <c r="J53" s="102"/>
      <c r="K53" s="102"/>
      <c r="L53" s="102"/>
      <c r="M53" s="16"/>
      <c r="N53" s="102"/>
    </row>
    <row r="54" spans="1:14" hidden="1" outlineLevel="1" x14ac:dyDescent="0.4">
      <c r="A54" s="92"/>
      <c r="B54" s="100"/>
      <c r="C54" s="103"/>
      <c r="D54" s="17"/>
      <c r="E54" s="17"/>
      <c r="F54" s="16"/>
      <c r="G54" s="16"/>
      <c r="H54" s="102"/>
      <c r="I54" s="102"/>
      <c r="J54" s="102"/>
      <c r="K54" s="102"/>
      <c r="L54" s="102"/>
      <c r="M54" s="16"/>
      <c r="N54" s="102"/>
    </row>
    <row r="55" spans="1:14" hidden="1" outlineLevel="1" x14ac:dyDescent="0.4">
      <c r="A55" s="92"/>
      <c r="B55" s="104">
        <v>3</v>
      </c>
      <c r="C55" s="103" t="s">
        <v>27</v>
      </c>
      <c r="D55" s="17"/>
      <c r="E55" s="17"/>
      <c r="F55" s="16"/>
      <c r="G55" s="16"/>
      <c r="H55" s="102"/>
      <c r="I55" s="102"/>
      <c r="J55" s="102"/>
      <c r="K55" s="102"/>
      <c r="L55" s="102"/>
      <c r="M55" s="16"/>
      <c r="N55" s="102"/>
    </row>
    <row r="56" spans="1:14" hidden="1" outlineLevel="1" x14ac:dyDescent="0.4">
      <c r="A56" s="92"/>
      <c r="B56" s="100" t="s">
        <v>6</v>
      </c>
      <c r="C56" s="103" t="s">
        <v>54</v>
      </c>
      <c r="D56" s="17"/>
      <c r="E56" s="17"/>
      <c r="F56" s="16"/>
      <c r="G56" s="16"/>
      <c r="H56" s="102"/>
      <c r="I56" s="102"/>
      <c r="J56" s="102"/>
      <c r="K56" s="102"/>
      <c r="L56" s="102"/>
      <c r="M56" s="16"/>
      <c r="N56" s="102"/>
    </row>
    <row r="57" spans="1:14" hidden="1" outlineLevel="1" x14ac:dyDescent="0.4">
      <c r="A57" s="92"/>
      <c r="B57" s="100" t="s">
        <v>6</v>
      </c>
      <c r="C57" s="103" t="s">
        <v>56</v>
      </c>
      <c r="D57" s="17"/>
      <c r="E57" s="17"/>
      <c r="F57" s="16"/>
      <c r="G57" s="16"/>
      <c r="H57" s="102"/>
      <c r="I57" s="102"/>
      <c r="J57" s="102"/>
      <c r="K57" s="102"/>
      <c r="L57" s="102"/>
      <c r="M57" s="16"/>
      <c r="N57" s="102"/>
    </row>
    <row r="58" spans="1:14" hidden="1" outlineLevel="1" x14ac:dyDescent="0.4">
      <c r="A58" s="92"/>
      <c r="B58" s="100" t="s">
        <v>6</v>
      </c>
      <c r="C58" s="103" t="s">
        <v>57</v>
      </c>
      <c r="D58" s="17"/>
      <c r="E58" s="17"/>
      <c r="F58" s="16"/>
      <c r="G58" s="16"/>
      <c r="H58" s="102"/>
      <c r="I58" s="102"/>
      <c r="J58" s="102"/>
      <c r="K58" s="102"/>
      <c r="L58" s="102"/>
      <c r="M58" s="16"/>
      <c r="N58" s="102"/>
    </row>
    <row r="59" spans="1:14" hidden="1" outlineLevel="1" x14ac:dyDescent="0.4">
      <c r="A59" s="92"/>
      <c r="B59" s="104"/>
      <c r="C59" s="103"/>
      <c r="D59" s="17"/>
      <c r="E59" s="17"/>
      <c r="F59" s="16"/>
      <c r="G59" s="16"/>
      <c r="H59" s="102"/>
      <c r="I59" s="102"/>
      <c r="J59" s="102"/>
      <c r="K59" s="102"/>
      <c r="L59" s="102"/>
      <c r="M59" s="16"/>
      <c r="N59" s="102"/>
    </row>
    <row r="60" spans="1:14" s="2" customFormat="1" collapsed="1" x14ac:dyDescent="0.4">
      <c r="A60" s="3"/>
      <c r="B60" s="48" t="s">
        <v>99</v>
      </c>
      <c r="C60" s="49" t="s">
        <v>46</v>
      </c>
      <c r="D60" s="51">
        <f>SUM(D61:D64)</f>
        <v>0.15</v>
      </c>
      <c r="E60" s="51"/>
      <c r="F60" s="54"/>
      <c r="G60" s="54"/>
      <c r="H60" s="59"/>
      <c r="I60" s="59"/>
      <c r="J60" s="59"/>
      <c r="K60" s="59"/>
      <c r="L60" s="59"/>
      <c r="M60" s="54">
        <f>SUM(M61:M64)</f>
        <v>8.5</v>
      </c>
      <c r="N60" s="59"/>
    </row>
    <row r="61" spans="1:14" x14ac:dyDescent="0.4">
      <c r="A61" s="99" t="s">
        <v>118</v>
      </c>
      <c r="B61" s="100" t="s">
        <v>6</v>
      </c>
      <c r="C61" s="101" t="str">
        <f>VLOOKUP($A61,[3]PERTANYAAN!$A$18:$E$71,3,0)</f>
        <v>Antusiasme / Keinginan bergabung</v>
      </c>
      <c r="D61" s="46">
        <f>VLOOKUP($A61,[3]PERTANYAAN!$A$18:$E$71,5,0)</f>
        <v>7.4999999999999997E-2</v>
      </c>
      <c r="E61" s="17"/>
      <c r="F61" s="16"/>
      <c r="G61" s="16"/>
      <c r="H61" s="102"/>
      <c r="I61" s="102"/>
      <c r="J61" s="102" t="s">
        <v>16</v>
      </c>
      <c r="K61" s="102"/>
      <c r="L61" s="102"/>
      <c r="M61" s="16">
        <f t="shared" ref="M61:M63" si="2">IF(H61="V",$D61*H$15,IF(I61="V",$D61*I$15,IF(J61="V",$D61*J$15,IF(K61="V",$D61*K$15,IF(L61="V",$D61*L$15,0)))))*100</f>
        <v>4.5</v>
      </c>
      <c r="N61" s="102" t="s">
        <v>202</v>
      </c>
    </row>
    <row r="62" spans="1:14" x14ac:dyDescent="0.4">
      <c r="A62" s="99" t="s">
        <v>119</v>
      </c>
      <c r="B62" s="100" t="s">
        <v>6</v>
      </c>
      <c r="C62" s="101" t="str">
        <f>VLOOKUP($A62,[3]PERTANYAAN!$A$18:$E$71,3,0)</f>
        <v>Inisiatif</v>
      </c>
      <c r="D62" s="46">
        <f>VLOOKUP($A62,[3]PERTANYAAN!$A$18:$E$71,5,0)</f>
        <v>0.05</v>
      </c>
      <c r="E62" s="17"/>
      <c r="F62" s="16"/>
      <c r="G62" s="16"/>
      <c r="H62" s="102"/>
      <c r="I62" s="102" t="s">
        <v>16</v>
      </c>
      <c r="J62" s="102"/>
      <c r="K62" s="102"/>
      <c r="L62" s="102"/>
      <c r="M62" s="16">
        <f t="shared" si="2"/>
        <v>2.0000000000000004</v>
      </c>
      <c r="N62" s="102" t="s">
        <v>203</v>
      </c>
    </row>
    <row r="63" spans="1:14" x14ac:dyDescent="0.4">
      <c r="A63" s="99" t="s">
        <v>120</v>
      </c>
      <c r="B63" s="100" t="s">
        <v>6</v>
      </c>
      <c r="C63" s="101" t="str">
        <f>VLOOKUP($A63,[3]PERTANYAAN!$A$18:$E$71,3,0)</f>
        <v>Adaptif</v>
      </c>
      <c r="D63" s="46">
        <f>VLOOKUP($A63,[3]PERTANYAAN!$A$18:$E$71,5,0)</f>
        <v>2.5000000000000001E-2</v>
      </c>
      <c r="E63" s="17"/>
      <c r="F63" s="16"/>
      <c r="G63" s="16"/>
      <c r="H63" s="102"/>
      <c r="I63" s="102"/>
      <c r="J63" s="102"/>
      <c r="K63" s="102" t="s">
        <v>16</v>
      </c>
      <c r="L63" s="102"/>
      <c r="M63" s="16">
        <f t="shared" si="2"/>
        <v>2.0000000000000004</v>
      </c>
      <c r="N63" s="102"/>
    </row>
    <row r="64" spans="1:14" x14ac:dyDescent="0.4">
      <c r="A64" s="92"/>
      <c r="B64" s="104"/>
      <c r="C64" s="103"/>
      <c r="D64" s="17"/>
      <c r="E64" s="17"/>
      <c r="F64" s="16"/>
      <c r="G64" s="16"/>
      <c r="H64" s="102"/>
      <c r="I64" s="102"/>
      <c r="J64" s="102"/>
      <c r="K64" s="102"/>
      <c r="L64" s="102"/>
      <c r="M64" s="16"/>
      <c r="N64" s="102"/>
    </row>
    <row r="65" spans="1:14" s="2" customFormat="1" x14ac:dyDescent="0.4">
      <c r="A65" s="3"/>
      <c r="B65" s="48" t="s">
        <v>100</v>
      </c>
      <c r="C65" s="49" t="s">
        <v>48</v>
      </c>
      <c r="D65" s="51">
        <f>SUM(D66:D68)</f>
        <v>0.05</v>
      </c>
      <c r="E65" s="51"/>
      <c r="F65" s="54"/>
      <c r="G65" s="54"/>
      <c r="H65" s="59"/>
      <c r="I65" s="59"/>
      <c r="J65" s="59"/>
      <c r="K65" s="59"/>
      <c r="L65" s="59"/>
      <c r="M65" s="54">
        <f>SUM(M66:M68)</f>
        <v>2.2000000000000002</v>
      </c>
      <c r="N65" s="59"/>
    </row>
    <row r="66" spans="1:14" x14ac:dyDescent="0.4">
      <c r="A66" s="99" t="s">
        <v>121</v>
      </c>
      <c r="B66" s="100" t="s">
        <v>6</v>
      </c>
      <c r="C66" s="101" t="str">
        <f>VLOOKUP($A66,[3]PERTANYAAN!$A$18:$E$71,3,0)</f>
        <v>Ekspektasi Salary (Mengukur Budget &amp; Skill)</v>
      </c>
      <c r="D66" s="46">
        <f>VLOOKUP($A66,[3]PERTANYAAN!$A$18:$E$71,5,0)</f>
        <v>0.04</v>
      </c>
      <c r="E66" s="17"/>
      <c r="F66" s="16"/>
      <c r="G66" s="16"/>
      <c r="H66" s="102"/>
      <c r="I66" s="102" t="s">
        <v>16</v>
      </c>
      <c r="J66" s="102"/>
      <c r="K66" s="102"/>
      <c r="L66" s="102"/>
      <c r="M66" s="16">
        <f t="shared" ref="M66:M67" si="3">IF(H66="V",$D66*H$15,IF(I66="V",$D66*I$15,IF(J66="V",$D66*J$15,IF(K66="V",$D66*K$15,IF(L66="V",$D66*L$15,0)))))*100</f>
        <v>1.6</v>
      </c>
      <c r="N66" s="102" t="s">
        <v>204</v>
      </c>
    </row>
    <row r="67" spans="1:14" x14ac:dyDescent="0.4">
      <c r="A67" s="99" t="s">
        <v>122</v>
      </c>
      <c r="B67" s="100" t="s">
        <v>6</v>
      </c>
      <c r="C67" s="101" t="str">
        <f>VLOOKUP($A67,[3]PERTANYAAN!$A$18:$E$71,3,0)</f>
        <v>Tujuan Karir</v>
      </c>
      <c r="D67" s="46">
        <f>VLOOKUP($A67,[3]PERTANYAAN!$A$18:$E$71,5,0)</f>
        <v>0.01</v>
      </c>
      <c r="E67" s="17"/>
      <c r="F67" s="16"/>
      <c r="G67" s="16"/>
      <c r="H67" s="102"/>
      <c r="I67" s="102"/>
      <c r="J67" s="102" t="s">
        <v>16</v>
      </c>
      <c r="K67" s="102"/>
      <c r="L67" s="102"/>
      <c r="M67" s="16">
        <f t="shared" si="3"/>
        <v>0.6</v>
      </c>
      <c r="N67" s="102"/>
    </row>
    <row r="68" spans="1:14" x14ac:dyDescent="0.4">
      <c r="A68" s="99"/>
      <c r="B68" s="104"/>
      <c r="C68" s="103"/>
      <c r="D68" s="17"/>
      <c r="E68" s="17"/>
      <c r="F68" s="16"/>
      <c r="G68" s="16"/>
      <c r="H68" s="102"/>
      <c r="I68" s="102"/>
      <c r="J68" s="102"/>
      <c r="K68" s="102"/>
      <c r="L68" s="102"/>
      <c r="M68" s="16"/>
      <c r="N68" s="102"/>
    </row>
    <row r="69" spans="1:14" s="2" customFormat="1" x14ac:dyDescent="0.4">
      <c r="A69" s="3"/>
      <c r="B69" s="48" t="s">
        <v>101</v>
      </c>
      <c r="C69" s="49" t="s">
        <v>134</v>
      </c>
      <c r="D69" s="51">
        <f>SUM(D70:D70)</f>
        <v>0.05</v>
      </c>
      <c r="E69" s="51"/>
      <c r="F69" s="54"/>
      <c r="G69" s="54"/>
      <c r="H69" s="59"/>
      <c r="I69" s="59"/>
      <c r="J69" s="59"/>
      <c r="K69" s="59"/>
      <c r="L69" s="59"/>
      <c r="M69" s="54">
        <f>SUM(M70)</f>
        <v>0</v>
      </c>
      <c r="N69" s="59"/>
    </row>
    <row r="70" spans="1:14" x14ac:dyDescent="0.4">
      <c r="A70" s="99" t="s">
        <v>123</v>
      </c>
      <c r="B70" s="100" t="s">
        <v>6</v>
      </c>
      <c r="C70" s="101" t="str">
        <f>VLOOKUP($A70,[3]PERTANYAAN!$A$18:$E$71,3,0)</f>
        <v>Pertanyaan Spesifik User</v>
      </c>
      <c r="D70" s="46">
        <f>VLOOKUP($A70,[3]PERTANYAAN!$A$18:$E$71,5,0)</f>
        <v>0.05</v>
      </c>
      <c r="E70" s="17"/>
      <c r="F70" s="16"/>
      <c r="G70" s="16"/>
      <c r="H70" s="102"/>
      <c r="I70" s="102"/>
      <c r="J70" s="102"/>
      <c r="K70" s="102"/>
      <c r="L70" s="102"/>
      <c r="M70" s="16">
        <f t="shared" ref="M70" si="4">IF(H70="V",$D70*H$15,IF(I70="V",$D70*I$15,IF(J70="V",$D70*J$15,IF(K70="V",$D70*K$15,IF(L70="V",$D70*L$15,0)))))*100</f>
        <v>0</v>
      </c>
      <c r="N70" s="102"/>
    </row>
    <row r="71" spans="1:14" x14ac:dyDescent="0.4">
      <c r="B71" s="105"/>
      <c r="C71" s="106"/>
      <c r="D71" s="22"/>
      <c r="E71" s="22"/>
      <c r="F71" s="21"/>
      <c r="G71" s="21"/>
      <c r="H71" s="107"/>
      <c r="I71" s="107"/>
      <c r="J71" s="107"/>
      <c r="K71" s="107"/>
      <c r="L71" s="107"/>
      <c r="M71" s="21"/>
      <c r="N71" s="107"/>
    </row>
    <row r="73" spans="1:14" x14ac:dyDescent="0.4">
      <c r="A73" s="94" t="s">
        <v>186</v>
      </c>
      <c r="C73" s="108" t="s">
        <v>187</v>
      </c>
      <c r="N73" s="108" t="s">
        <v>205</v>
      </c>
    </row>
    <row r="74" spans="1:14" ht="22.85" customHeight="1" x14ac:dyDescent="0.4">
      <c r="C74" s="108"/>
      <c r="N74" s="108"/>
    </row>
    <row r="76" spans="1:14" x14ac:dyDescent="0.4">
      <c r="A76" s="94" t="s">
        <v>189</v>
      </c>
      <c r="C76" s="108" t="s">
        <v>206</v>
      </c>
      <c r="N76" s="108" t="s">
        <v>207</v>
      </c>
    </row>
    <row r="77" spans="1:14" ht="28.2" customHeight="1" x14ac:dyDescent="0.4">
      <c r="C77" s="108"/>
      <c r="N77" s="108"/>
    </row>
  </sheetData>
  <mergeCells count="12">
    <mergeCell ref="M13:M14"/>
    <mergeCell ref="N13:N14"/>
    <mergeCell ref="C73:C74"/>
    <mergeCell ref="N73:N74"/>
    <mergeCell ref="C76:C77"/>
    <mergeCell ref="N76:N77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38734-3466-442E-9D88-CC289A8F061C}">
  <sheetPr>
    <tabColor theme="8" tint="0.39997558519241921"/>
  </sheetPr>
  <dimension ref="A1:N77"/>
  <sheetViews>
    <sheetView zoomScaleNormal="100" workbookViewId="0">
      <pane xSplit="1" ySplit="14" topLeftCell="B15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C13" sqref="C13:C14"/>
    </sheetView>
  </sheetViews>
  <sheetFormatPr defaultRowHeight="14.6" outlineLevelRow="1" x14ac:dyDescent="0.4"/>
  <cols>
    <col min="1" max="1" width="17.69140625" style="93" customWidth="1"/>
    <col min="2" max="2" width="4.3046875" style="92" bestFit="1" customWidth="1"/>
    <col min="3" max="3" width="40.07421875" style="93" bestFit="1" customWidth="1"/>
    <col min="4" max="4" width="9.23046875" style="5"/>
    <col min="5" max="5" width="1.69140625" style="5" customWidth="1"/>
    <col min="6" max="7" width="9.23046875" style="4"/>
    <col min="8" max="12" width="9.23046875" style="94"/>
    <col min="13" max="13" width="9.23046875" style="4"/>
    <col min="14" max="14" width="56.07421875" style="94" bestFit="1" customWidth="1"/>
    <col min="15" max="16384" width="9.23046875" style="93"/>
  </cols>
  <sheetData>
    <row r="1" spans="1:14" x14ac:dyDescent="0.4">
      <c r="A1" s="2" t="s">
        <v>125</v>
      </c>
    </row>
    <row r="2" spans="1:14" x14ac:dyDescent="0.4">
      <c r="A2" s="2" t="s">
        <v>0</v>
      </c>
    </row>
    <row r="5" spans="1:14" x14ac:dyDescent="0.4">
      <c r="A5" s="2" t="s">
        <v>1</v>
      </c>
      <c r="B5" s="92" t="s">
        <v>29</v>
      </c>
      <c r="C5" s="2" t="s">
        <v>208</v>
      </c>
    </row>
    <row r="6" spans="1:14" x14ac:dyDescent="0.4">
      <c r="A6" s="2" t="s">
        <v>20</v>
      </c>
      <c r="B6" s="92" t="s">
        <v>29</v>
      </c>
      <c r="C6" s="93" t="s">
        <v>31</v>
      </c>
      <c r="L6" s="26" t="s">
        <v>61</v>
      </c>
      <c r="M6" s="94"/>
    </row>
    <row r="7" spans="1:14" x14ac:dyDescent="0.4">
      <c r="A7" s="2" t="s">
        <v>32</v>
      </c>
      <c r="B7" s="92" t="s">
        <v>29</v>
      </c>
      <c r="C7" s="93" t="s">
        <v>175</v>
      </c>
      <c r="L7" s="94" t="s">
        <v>39</v>
      </c>
      <c r="M7" s="94" t="s">
        <v>29</v>
      </c>
      <c r="N7" s="95" t="s">
        <v>69</v>
      </c>
    </row>
    <row r="8" spans="1:14" x14ac:dyDescent="0.4">
      <c r="A8" s="2" t="s">
        <v>34</v>
      </c>
      <c r="B8" s="92" t="s">
        <v>29</v>
      </c>
      <c r="C8" s="93" t="s">
        <v>35</v>
      </c>
      <c r="L8" s="94" t="s">
        <v>40</v>
      </c>
      <c r="M8" s="94" t="s">
        <v>29</v>
      </c>
      <c r="N8" s="95" t="s">
        <v>70</v>
      </c>
    </row>
    <row r="9" spans="1:14" x14ac:dyDescent="0.4">
      <c r="A9" s="2" t="s">
        <v>28</v>
      </c>
      <c r="B9" s="92" t="s">
        <v>29</v>
      </c>
      <c r="L9" s="94" t="s">
        <v>41</v>
      </c>
      <c r="M9" s="94" t="s">
        <v>29</v>
      </c>
      <c r="N9" s="95" t="s">
        <v>71</v>
      </c>
    </row>
    <row r="10" spans="1:14" x14ac:dyDescent="0.4">
      <c r="A10" s="2" t="s">
        <v>38</v>
      </c>
      <c r="B10" s="92" t="s">
        <v>29</v>
      </c>
      <c r="C10" s="2" t="s">
        <v>177</v>
      </c>
      <c r="D10" s="6" t="s">
        <v>92</v>
      </c>
      <c r="L10" s="94" t="s">
        <v>42</v>
      </c>
      <c r="M10" s="94" t="s">
        <v>29</v>
      </c>
      <c r="N10" s="95" t="s">
        <v>72</v>
      </c>
    </row>
    <row r="11" spans="1:14" x14ac:dyDescent="0.4">
      <c r="A11" s="2" t="s">
        <v>67</v>
      </c>
      <c r="B11" s="92" t="s">
        <v>29</v>
      </c>
      <c r="C11" s="24">
        <f>M16</f>
        <v>77</v>
      </c>
      <c r="L11" s="94" t="s">
        <v>43</v>
      </c>
      <c r="M11" s="94" t="s">
        <v>29</v>
      </c>
      <c r="N11" s="95" t="s">
        <v>73</v>
      </c>
    </row>
    <row r="13" spans="1:14" s="2" customFormat="1" x14ac:dyDescent="0.4">
      <c r="A13" s="67" t="s">
        <v>124</v>
      </c>
      <c r="B13" s="68" t="s">
        <v>2</v>
      </c>
      <c r="C13" s="68" t="s">
        <v>3</v>
      </c>
      <c r="D13" s="70" t="s">
        <v>19</v>
      </c>
      <c r="E13" s="42"/>
      <c r="F13" s="65" t="s">
        <v>18</v>
      </c>
      <c r="G13" s="65"/>
      <c r="H13" s="68" t="s">
        <v>37</v>
      </c>
      <c r="I13" s="68"/>
      <c r="J13" s="68"/>
      <c r="K13" s="68"/>
      <c r="L13" s="68"/>
      <c r="M13" s="65" t="s">
        <v>17</v>
      </c>
      <c r="N13" s="66" t="s">
        <v>61</v>
      </c>
    </row>
    <row r="14" spans="1:14" s="2" customFormat="1" x14ac:dyDescent="0.4">
      <c r="A14" s="67"/>
      <c r="B14" s="68"/>
      <c r="C14" s="96"/>
      <c r="D14" s="71"/>
      <c r="E14" s="44"/>
      <c r="F14" s="43" t="s">
        <v>14</v>
      </c>
      <c r="G14" s="43" t="s">
        <v>15</v>
      </c>
      <c r="H14" s="41" t="s">
        <v>39</v>
      </c>
      <c r="I14" s="41" t="s">
        <v>40</v>
      </c>
      <c r="J14" s="41" t="s">
        <v>41</v>
      </c>
      <c r="K14" s="41" t="s">
        <v>42</v>
      </c>
      <c r="L14" s="41" t="s">
        <v>43</v>
      </c>
      <c r="M14" s="65"/>
      <c r="N14" s="66"/>
    </row>
    <row r="15" spans="1:14" s="2" customFormat="1" x14ac:dyDescent="0.4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0"/>
    </row>
    <row r="16" spans="1:14" s="2" customFormat="1" x14ac:dyDescent="0.4">
      <c r="A16" s="3"/>
      <c r="B16" s="39"/>
      <c r="C16" s="63" t="s">
        <v>65</v>
      </c>
      <c r="D16" s="39"/>
      <c r="E16" s="39"/>
      <c r="F16" s="61"/>
      <c r="G16" s="61"/>
      <c r="H16" s="39"/>
      <c r="I16" s="39"/>
      <c r="J16" s="39"/>
      <c r="K16" s="39"/>
      <c r="L16" s="39"/>
      <c r="M16" s="40">
        <f>M17+M21+M27+M43+M60+M65+M69</f>
        <v>77</v>
      </c>
      <c r="N16" s="39"/>
    </row>
    <row r="17" spans="1:14" x14ac:dyDescent="0.4">
      <c r="B17" s="48" t="s">
        <v>66</v>
      </c>
      <c r="C17" s="49" t="s">
        <v>8</v>
      </c>
      <c r="D17" s="51">
        <f>SUM(D18:D19)</f>
        <v>0.1</v>
      </c>
      <c r="E17" s="51"/>
      <c r="F17" s="54"/>
      <c r="G17" s="54"/>
      <c r="H17" s="97"/>
      <c r="I17" s="97"/>
      <c r="J17" s="97"/>
      <c r="K17" s="97"/>
      <c r="L17" s="97"/>
      <c r="M17" s="54">
        <f>SUM(M18:M20)</f>
        <v>10</v>
      </c>
      <c r="N17" s="97"/>
    </row>
    <row r="18" spans="1:14" x14ac:dyDescent="0.4">
      <c r="A18" s="99" t="s">
        <v>102</v>
      </c>
      <c r="B18" s="100">
        <v>1</v>
      </c>
      <c r="C18" s="101" t="str">
        <f>VLOOKUP($A18,[3]PERTANYAAN!$A$18:$E$71,3,0)</f>
        <v>Pengalaman di dalam Daniswara Group</v>
      </c>
      <c r="D18" s="46">
        <f>VLOOKUP($A18,[3]PERTANYAAN!$A$18:$E$71,5,0)</f>
        <v>0.06</v>
      </c>
      <c r="E18" s="17"/>
      <c r="F18" s="16" t="s">
        <v>16</v>
      </c>
      <c r="G18" s="16"/>
      <c r="H18" s="102"/>
      <c r="I18" s="102"/>
      <c r="J18" s="102"/>
      <c r="K18" s="102"/>
      <c r="L18" s="102"/>
      <c r="M18" s="16">
        <f>IF(F18="V",D18*100,0)</f>
        <v>6</v>
      </c>
      <c r="N18" s="102"/>
    </row>
    <row r="19" spans="1:14" x14ac:dyDescent="0.4">
      <c r="A19" s="99" t="s">
        <v>103</v>
      </c>
      <c r="B19" s="100">
        <f>B18+1</f>
        <v>2</v>
      </c>
      <c r="C19" s="101" t="str">
        <f>VLOOKUP($A19,[3]PERTANYAAN!$A$18:$E$71,3,0)</f>
        <v>Pengalaman di luar Daniswara Group</v>
      </c>
      <c r="D19" s="46">
        <f>VLOOKUP($A19,[3]PERTANYAAN!$A$18:$E$71,5,0)</f>
        <v>0.04</v>
      </c>
      <c r="E19" s="17"/>
      <c r="F19" s="16" t="s">
        <v>16</v>
      </c>
      <c r="G19" s="16"/>
      <c r="H19" s="102"/>
      <c r="I19" s="102"/>
      <c r="J19" s="102"/>
      <c r="K19" s="102"/>
      <c r="L19" s="102"/>
      <c r="M19" s="16">
        <f>IF(F19="V",D19*100,0)</f>
        <v>4</v>
      </c>
      <c r="N19" s="102"/>
    </row>
    <row r="20" spans="1:14" x14ac:dyDescent="0.4">
      <c r="A20" s="92"/>
      <c r="B20" s="104"/>
      <c r="C20" s="103"/>
      <c r="D20" s="17"/>
      <c r="E20" s="17"/>
      <c r="F20" s="16"/>
      <c r="G20" s="16"/>
      <c r="H20" s="102"/>
      <c r="I20" s="102"/>
      <c r="J20" s="102"/>
      <c r="K20" s="102"/>
      <c r="L20" s="102"/>
      <c r="M20" s="16"/>
      <c r="N20" s="102"/>
    </row>
    <row r="21" spans="1:14" x14ac:dyDescent="0.4">
      <c r="A21" s="92"/>
      <c r="B21" s="48" t="s">
        <v>42</v>
      </c>
      <c r="C21" s="49" t="s">
        <v>9</v>
      </c>
      <c r="D21" s="51">
        <f>SUM(D22:D25)</f>
        <v>0.05</v>
      </c>
      <c r="E21" s="51"/>
      <c r="F21" s="54"/>
      <c r="G21" s="54"/>
      <c r="H21" s="97"/>
      <c r="I21" s="97"/>
      <c r="J21" s="97"/>
      <c r="K21" s="97"/>
      <c r="L21" s="97"/>
      <c r="M21" s="54">
        <f>SUM(M22:M25)</f>
        <v>3</v>
      </c>
      <c r="N21" s="97"/>
    </row>
    <row r="22" spans="1:14" x14ac:dyDescent="0.4">
      <c r="A22" s="99" t="s">
        <v>104</v>
      </c>
      <c r="B22" s="100">
        <v>1</v>
      </c>
      <c r="C22" s="101" t="str">
        <f>VLOOKUP($A22,[3]PERTANYAAN!$A$18:$E$71,3,0)</f>
        <v>Identitas (KTP &amp; KK)</v>
      </c>
      <c r="D22" s="46">
        <f>VLOOKUP($A22,[3]PERTANYAAN!$A$18:$E$71,5,0)</f>
        <v>0.01</v>
      </c>
      <c r="E22" s="17"/>
      <c r="F22" s="16" t="s">
        <v>16</v>
      </c>
      <c r="G22" s="16"/>
      <c r="H22" s="102"/>
      <c r="I22" s="102"/>
      <c r="J22" s="102"/>
      <c r="K22" s="102"/>
      <c r="L22" s="102"/>
      <c r="M22" s="16">
        <f>IF(F22="V",D22*100,0)</f>
        <v>1</v>
      </c>
      <c r="N22" s="102"/>
    </row>
    <row r="23" spans="1:14" x14ac:dyDescent="0.4">
      <c r="A23" s="99" t="s">
        <v>105</v>
      </c>
      <c r="B23" s="100">
        <f>B22+1</f>
        <v>2</v>
      </c>
      <c r="C23" s="101" t="str">
        <f>VLOOKUP($A23,[3]PERTANYAAN!$A$18:$E$71,3,0)</f>
        <v>SIM A (utk jabatan di Divisi Operasi)</v>
      </c>
      <c r="D23" s="46">
        <f>VLOOKUP($A23,[3]PERTANYAAN!$A$18:$E$71,5,0)</f>
        <v>0.02</v>
      </c>
      <c r="E23" s="17"/>
      <c r="F23" s="16"/>
      <c r="G23" s="16" t="s">
        <v>16</v>
      </c>
      <c r="H23" s="102"/>
      <c r="I23" s="102"/>
      <c r="J23" s="102"/>
      <c r="K23" s="102"/>
      <c r="L23" s="102"/>
      <c r="M23" s="16">
        <f>IF(F23="V",D23*100,0)</f>
        <v>0</v>
      </c>
      <c r="N23" s="102" t="s">
        <v>209</v>
      </c>
    </row>
    <row r="24" spans="1:14" x14ac:dyDescent="0.4">
      <c r="A24" s="99" t="s">
        <v>106</v>
      </c>
      <c r="B24" s="100">
        <f t="shared" ref="B24:B25" si="0">B23+1</f>
        <v>3</v>
      </c>
      <c r="C24" s="101" t="str">
        <f>VLOOKUP($A24,[3]PERTANYAAN!$A$18:$E$71,3,0)</f>
        <v>SIM C</v>
      </c>
      <c r="D24" s="46">
        <f>VLOOKUP($A24,[3]PERTANYAAN!$A$18:$E$71,5,0)</f>
        <v>0.01</v>
      </c>
      <c r="E24" s="17"/>
      <c r="F24" s="16" t="s">
        <v>16</v>
      </c>
      <c r="G24" s="16"/>
      <c r="H24" s="102"/>
      <c r="I24" s="102"/>
      <c r="J24" s="102"/>
      <c r="K24" s="102"/>
      <c r="L24" s="102"/>
      <c r="M24" s="16">
        <f>IF(F24="V",D24*100,0)</f>
        <v>1</v>
      </c>
      <c r="N24" s="102"/>
    </row>
    <row r="25" spans="1:14" x14ac:dyDescent="0.4">
      <c r="A25" s="99" t="s">
        <v>107</v>
      </c>
      <c r="B25" s="100">
        <f t="shared" si="0"/>
        <v>4</v>
      </c>
      <c r="C25" s="101" t="str">
        <f>VLOOKUP($A25,[3]PERTANYAAN!$A$18:$E$71,3,0)</f>
        <v>NPWP</v>
      </c>
      <c r="D25" s="46">
        <f>VLOOKUP($A25,[3]PERTANYAAN!$A$18:$E$71,5,0)</f>
        <v>0.01</v>
      </c>
      <c r="E25" s="17"/>
      <c r="F25" s="16" t="s">
        <v>16</v>
      </c>
      <c r="G25" s="16"/>
      <c r="H25" s="102"/>
      <c r="I25" s="102"/>
      <c r="J25" s="102"/>
      <c r="K25" s="102"/>
      <c r="L25" s="102"/>
      <c r="M25" s="16">
        <f>IF(F25="V",D25*100,0)</f>
        <v>1</v>
      </c>
      <c r="N25" s="102"/>
    </row>
    <row r="26" spans="1:14" x14ac:dyDescent="0.4">
      <c r="A26" s="92"/>
      <c r="B26" s="104"/>
      <c r="C26" s="103"/>
      <c r="D26" s="17"/>
      <c r="E26" s="17"/>
      <c r="F26" s="16"/>
      <c r="G26" s="16"/>
      <c r="H26" s="102"/>
      <c r="I26" s="102"/>
      <c r="J26" s="102"/>
      <c r="K26" s="102"/>
      <c r="L26" s="102"/>
      <c r="M26" s="16"/>
      <c r="N26" s="102"/>
    </row>
    <row r="27" spans="1:14" x14ac:dyDescent="0.4">
      <c r="A27" s="92"/>
      <c r="B27" s="48" t="s">
        <v>97</v>
      </c>
      <c r="C27" s="49" t="s">
        <v>21</v>
      </c>
      <c r="D27" s="51">
        <f>D28</f>
        <v>0.35000000000000003</v>
      </c>
      <c r="E27" s="57"/>
      <c r="F27" s="60"/>
      <c r="G27" s="60"/>
      <c r="H27" s="97"/>
      <c r="I27" s="97"/>
      <c r="J27" s="97"/>
      <c r="K27" s="97"/>
      <c r="L27" s="97"/>
      <c r="M27" s="54">
        <f>M28</f>
        <v>22.5</v>
      </c>
      <c r="N27" s="97"/>
    </row>
    <row r="28" spans="1:14" x14ac:dyDescent="0.4">
      <c r="A28" s="99" t="s">
        <v>108</v>
      </c>
      <c r="B28" s="100">
        <v>1</v>
      </c>
      <c r="C28" s="101" t="str">
        <f>VLOOKUP($A28,[3]PERTANYAAN!$A$18:$E$71,3,0)</f>
        <v>Operasi / Logistik</v>
      </c>
      <c r="D28" s="46">
        <f>VLOOKUP($A28,[3]PERTANYAAN!$A$18:$E$71,5,0)</f>
        <v>0.35000000000000003</v>
      </c>
      <c r="E28" s="17"/>
      <c r="F28" s="16"/>
      <c r="G28" s="16"/>
      <c r="H28" s="102"/>
      <c r="I28" s="102"/>
      <c r="J28" s="102"/>
      <c r="K28" s="102"/>
      <c r="L28" s="102"/>
      <c r="M28" s="16">
        <f>SUM(M29:M33)</f>
        <v>22.5</v>
      </c>
      <c r="N28" s="102"/>
    </row>
    <row r="29" spans="1:14" x14ac:dyDescent="0.4">
      <c r="A29" s="99" t="s">
        <v>109</v>
      </c>
      <c r="B29" s="100" t="s">
        <v>6</v>
      </c>
      <c r="C29" s="101" t="str">
        <f>VLOOKUP($A29,[3]PERTANYAAN!$A$18:$E$71,3,0)</f>
        <v>Skill Mengemudi</v>
      </c>
      <c r="D29" s="46">
        <f>VLOOKUP($A29,[3]PERTANYAAN!$A$18:$E$71,5,0)</f>
        <v>0.15</v>
      </c>
      <c r="E29" s="17"/>
      <c r="F29" s="16"/>
      <c r="G29" s="16"/>
      <c r="H29" s="102"/>
      <c r="I29" s="102" t="s">
        <v>16</v>
      </c>
      <c r="J29" s="102"/>
      <c r="K29" s="102"/>
      <c r="L29" s="102"/>
      <c r="M29" s="16">
        <f>IF(H29="V",$D29*H$15,IF(I29="V",$D29*I$15,IF(J29="V",$D29*J$15,IF(K29="V",$D29*K$15,IF(L29="V",$D29*L$15,0)))))*100</f>
        <v>6</v>
      </c>
      <c r="N29" s="102" t="s">
        <v>210</v>
      </c>
    </row>
    <row r="30" spans="1:14" x14ac:dyDescent="0.4">
      <c r="A30" s="99" t="s">
        <v>110</v>
      </c>
      <c r="B30" s="100" t="s">
        <v>6</v>
      </c>
      <c r="C30" s="101" t="str">
        <f>VLOOKUP($A30,[3]PERTANYAAN!$A$18:$E$71,3,0)</f>
        <v>Flow Administrasi Logistik</v>
      </c>
      <c r="D30" s="46">
        <f>VLOOKUP($A30,[3]PERTANYAAN!$A$18:$E$71,5,0)</f>
        <v>0.1</v>
      </c>
      <c r="E30" s="17"/>
      <c r="F30" s="16"/>
      <c r="G30" s="16"/>
      <c r="H30" s="102"/>
      <c r="I30" s="102"/>
      <c r="J30" s="102"/>
      <c r="K30" s="102" t="s">
        <v>16</v>
      </c>
      <c r="L30" s="102"/>
      <c r="M30" s="16">
        <f t="shared" ref="M30:M32" si="1">IF(H30="V",$D30*H$15,IF(I30="V",$D30*I$15,IF(J30="V",$D30*J$15,IF(K30="V",$D30*K$15,IF(L30="V",$D30*L$15,0)))))*100</f>
        <v>8.0000000000000018</v>
      </c>
      <c r="N30" s="102" t="s">
        <v>211</v>
      </c>
    </row>
    <row r="31" spans="1:14" x14ac:dyDescent="0.4">
      <c r="A31" s="99" t="s">
        <v>111</v>
      </c>
      <c r="B31" s="100" t="s">
        <v>6</v>
      </c>
      <c r="C31" s="101" t="str">
        <f>VLOOKUP($A31,[3]PERTANYAAN!$A$18:$E$71,3,0)</f>
        <v>Pengetahuan terkait logistik</v>
      </c>
      <c r="D31" s="46">
        <f>VLOOKUP($A31,[3]PERTANYAAN!$A$18:$E$71,5,0)</f>
        <v>2.5000000000000001E-2</v>
      </c>
      <c r="E31" s="17"/>
      <c r="F31" s="16"/>
      <c r="G31" s="16"/>
      <c r="H31" s="102"/>
      <c r="I31" s="102"/>
      <c r="J31" s="102"/>
      <c r="K31" s="102"/>
      <c r="L31" s="102" t="s">
        <v>16</v>
      </c>
      <c r="M31" s="16">
        <f t="shared" si="1"/>
        <v>2.5</v>
      </c>
      <c r="N31" s="102"/>
    </row>
    <row r="32" spans="1:14" x14ac:dyDescent="0.4">
      <c r="A32" s="99" t="s">
        <v>112</v>
      </c>
      <c r="B32" s="100" t="s">
        <v>6</v>
      </c>
      <c r="C32" s="101" t="str">
        <f>VLOOKUP($A32,[3]PERTANYAAN!$A$18:$E$71,3,0)</f>
        <v>Pengalaman di Bongkar Muat</v>
      </c>
      <c r="D32" s="46">
        <f>VLOOKUP($A32,[3]PERTANYAAN!$A$18:$E$71,5,0)</f>
        <v>7.4999999999999997E-2</v>
      </c>
      <c r="E32" s="17"/>
      <c r="F32" s="16"/>
      <c r="G32" s="16"/>
      <c r="H32" s="102"/>
      <c r="I32" s="102"/>
      <c r="J32" s="102"/>
      <c r="K32" s="102" t="s">
        <v>16</v>
      </c>
      <c r="L32" s="102"/>
      <c r="M32" s="16">
        <f t="shared" si="1"/>
        <v>6</v>
      </c>
      <c r="N32" s="102"/>
    </row>
    <row r="33" spans="1:14" x14ac:dyDescent="0.4">
      <c r="A33" s="92"/>
      <c r="B33" s="100"/>
      <c r="C33" s="103"/>
      <c r="D33" s="17"/>
      <c r="E33" s="17"/>
      <c r="F33" s="16"/>
      <c r="G33" s="16"/>
      <c r="H33" s="102"/>
      <c r="I33" s="102"/>
      <c r="J33" s="102"/>
      <c r="K33" s="102"/>
      <c r="L33" s="102"/>
      <c r="M33" s="16"/>
      <c r="N33" s="102"/>
    </row>
    <row r="34" spans="1:14" hidden="1" outlineLevel="1" x14ac:dyDescent="0.4">
      <c r="A34" s="92"/>
      <c r="B34" s="100">
        <f>B28+1</f>
        <v>2</v>
      </c>
      <c r="C34" s="103" t="s">
        <v>22</v>
      </c>
      <c r="D34" s="17">
        <f>SUM(D35:D37)</f>
        <v>0.35</v>
      </c>
      <c r="E34" s="17"/>
      <c r="F34" s="16"/>
      <c r="G34" s="16"/>
      <c r="H34" s="102"/>
      <c r="I34" s="102"/>
      <c r="J34" s="102"/>
      <c r="K34" s="102"/>
      <c r="L34" s="102"/>
      <c r="M34" s="16"/>
      <c r="N34" s="102"/>
    </row>
    <row r="35" spans="1:14" hidden="1" outlineLevel="1" x14ac:dyDescent="0.4">
      <c r="A35" s="92"/>
      <c r="B35" s="100" t="s">
        <v>6</v>
      </c>
      <c r="C35" s="103" t="s">
        <v>44</v>
      </c>
      <c r="D35" s="17">
        <v>0.15</v>
      </c>
      <c r="E35" s="17"/>
      <c r="F35" s="16"/>
      <c r="G35" s="16"/>
      <c r="H35" s="102"/>
      <c r="I35" s="102"/>
      <c r="J35" s="102"/>
      <c r="K35" s="102"/>
      <c r="L35" s="102"/>
      <c r="M35" s="16"/>
      <c r="N35" s="102"/>
    </row>
    <row r="36" spans="1:14" hidden="1" outlineLevel="1" x14ac:dyDescent="0.4">
      <c r="A36" s="92"/>
      <c r="B36" s="100" t="s">
        <v>6</v>
      </c>
      <c r="C36" s="103" t="s">
        <v>50</v>
      </c>
      <c r="D36" s="17">
        <v>0.2</v>
      </c>
      <c r="E36" s="17"/>
      <c r="F36" s="16"/>
      <c r="G36" s="16"/>
      <c r="H36" s="102"/>
      <c r="I36" s="102"/>
      <c r="J36" s="102"/>
      <c r="K36" s="102"/>
      <c r="L36" s="102"/>
      <c r="M36" s="16"/>
      <c r="N36" s="102"/>
    </row>
    <row r="37" spans="1:14" hidden="1" outlineLevel="1" x14ac:dyDescent="0.4">
      <c r="A37" s="92"/>
      <c r="B37" s="100"/>
      <c r="C37" s="103"/>
      <c r="D37" s="17"/>
      <c r="E37" s="17"/>
      <c r="F37" s="16"/>
      <c r="G37" s="16"/>
      <c r="H37" s="102"/>
      <c r="I37" s="102"/>
      <c r="J37" s="102"/>
      <c r="K37" s="102"/>
      <c r="L37" s="102"/>
      <c r="M37" s="16"/>
      <c r="N37" s="102"/>
    </row>
    <row r="38" spans="1:14" hidden="1" outlineLevel="1" x14ac:dyDescent="0.4">
      <c r="A38" s="92"/>
      <c r="B38" s="104">
        <v>3</v>
      </c>
      <c r="C38" s="103" t="s">
        <v>23</v>
      </c>
      <c r="D38" s="17"/>
      <c r="E38" s="17"/>
      <c r="F38" s="16"/>
      <c r="G38" s="16"/>
      <c r="H38" s="102"/>
      <c r="I38" s="102"/>
      <c r="J38" s="102"/>
      <c r="K38" s="102"/>
      <c r="L38" s="102"/>
      <c r="M38" s="16"/>
      <c r="N38" s="102"/>
    </row>
    <row r="39" spans="1:14" hidden="1" outlineLevel="1" x14ac:dyDescent="0.4">
      <c r="A39" s="92"/>
      <c r="B39" s="100" t="s">
        <v>6</v>
      </c>
      <c r="C39" s="103" t="s">
        <v>52</v>
      </c>
      <c r="D39" s="17"/>
      <c r="E39" s="17"/>
      <c r="F39" s="16"/>
      <c r="G39" s="16"/>
      <c r="H39" s="102"/>
      <c r="I39" s="102"/>
      <c r="J39" s="102"/>
      <c r="K39" s="102"/>
      <c r="L39" s="102"/>
      <c r="M39" s="16"/>
      <c r="N39" s="102"/>
    </row>
    <row r="40" spans="1:14" hidden="1" outlineLevel="1" x14ac:dyDescent="0.4">
      <c r="A40" s="92"/>
      <c r="B40" s="100" t="s">
        <v>6</v>
      </c>
      <c r="C40" s="103" t="s">
        <v>53</v>
      </c>
      <c r="D40" s="17"/>
      <c r="E40" s="17"/>
      <c r="F40" s="16"/>
      <c r="G40" s="16"/>
      <c r="H40" s="102"/>
      <c r="I40" s="102"/>
      <c r="J40" s="102"/>
      <c r="K40" s="102"/>
      <c r="L40" s="102"/>
      <c r="M40" s="16"/>
      <c r="N40" s="102"/>
    </row>
    <row r="41" spans="1:14" hidden="1" outlineLevel="1" x14ac:dyDescent="0.4">
      <c r="A41" s="92"/>
      <c r="B41" s="100" t="s">
        <v>6</v>
      </c>
      <c r="C41" s="103"/>
      <c r="D41" s="17"/>
      <c r="E41" s="17"/>
      <c r="F41" s="16"/>
      <c r="G41" s="16"/>
      <c r="H41" s="102"/>
      <c r="I41" s="102"/>
      <c r="J41" s="102"/>
      <c r="K41" s="102"/>
      <c r="L41" s="102"/>
      <c r="M41" s="16"/>
      <c r="N41" s="102"/>
    </row>
    <row r="42" spans="1:14" hidden="1" outlineLevel="1" x14ac:dyDescent="0.4">
      <c r="A42" s="92"/>
      <c r="B42" s="104"/>
      <c r="C42" s="103"/>
      <c r="D42" s="17"/>
      <c r="E42" s="17"/>
      <c r="F42" s="16"/>
      <c r="G42" s="16"/>
      <c r="H42" s="102"/>
      <c r="I42" s="102"/>
      <c r="J42" s="102"/>
      <c r="K42" s="102"/>
      <c r="L42" s="102"/>
      <c r="M42" s="16"/>
      <c r="N42" s="102"/>
    </row>
    <row r="43" spans="1:14" s="2" customFormat="1" collapsed="1" x14ac:dyDescent="0.4">
      <c r="A43" s="3"/>
      <c r="B43" s="48" t="s">
        <v>98</v>
      </c>
      <c r="C43" s="49" t="s">
        <v>24</v>
      </c>
      <c r="D43" s="51">
        <f>D44</f>
        <v>0.25</v>
      </c>
      <c r="E43" s="51"/>
      <c r="F43" s="54"/>
      <c r="G43" s="54"/>
      <c r="H43" s="59"/>
      <c r="I43" s="59"/>
      <c r="J43" s="59"/>
      <c r="K43" s="59"/>
      <c r="L43" s="59"/>
      <c r="M43" s="54">
        <f>M44</f>
        <v>24</v>
      </c>
      <c r="N43" s="59"/>
    </row>
    <row r="44" spans="1:14" x14ac:dyDescent="0.4">
      <c r="A44" s="92" t="s">
        <v>113</v>
      </c>
      <c r="B44" s="104">
        <v>1</v>
      </c>
      <c r="C44" s="101" t="str">
        <f>VLOOKUP($A44,[3]PERTANYAAN!$A$18:$E$71,3,0)</f>
        <v>Staff</v>
      </c>
      <c r="D44" s="46">
        <f>VLOOKUP($A44,[3]PERTANYAAN!$A$18:$E$71,5,0)</f>
        <v>0.25</v>
      </c>
      <c r="E44" s="17"/>
      <c r="F44" s="16"/>
      <c r="G44" s="16"/>
      <c r="H44" s="102"/>
      <c r="I44" s="102"/>
      <c r="J44" s="102"/>
      <c r="K44" s="102"/>
      <c r="L44" s="102"/>
      <c r="M44" s="16">
        <f>SUM(M45:M48)</f>
        <v>24</v>
      </c>
      <c r="N44" s="102"/>
    </row>
    <row r="45" spans="1:14" x14ac:dyDescent="0.4">
      <c r="A45" s="99" t="s">
        <v>114</v>
      </c>
      <c r="B45" s="100" t="s">
        <v>6</v>
      </c>
      <c r="C45" s="101" t="str">
        <f>VLOOKUP($A45,[3]PERTANYAAN!$A$18:$E$71,3,0)</f>
        <v>Kepemimpinan</v>
      </c>
      <c r="D45" s="46">
        <f>VLOOKUP($A45,[3]PERTANYAAN!$A$18:$E$71,5,0)</f>
        <v>2.5000000000000001E-2</v>
      </c>
      <c r="E45" s="17"/>
      <c r="F45" s="16"/>
      <c r="G45" s="16"/>
      <c r="H45" s="102"/>
      <c r="I45" s="102"/>
      <c r="J45" s="102"/>
      <c r="K45" s="102"/>
      <c r="L45" s="102" t="s">
        <v>16</v>
      </c>
      <c r="M45" s="16">
        <f>IF(H45="V",$D45*H$15,IF(I45="V",$D45*I$15,IF(J45="V",$D45*J$15,IF(K45="V",$D45*K$15,IF(L45="V",$D45*L$15,0)))))*100</f>
        <v>2.5</v>
      </c>
      <c r="N45" s="102" t="s">
        <v>212</v>
      </c>
    </row>
    <row r="46" spans="1:14" x14ac:dyDescent="0.4">
      <c r="A46" s="99" t="s">
        <v>115</v>
      </c>
      <c r="B46" s="100" t="s">
        <v>6</v>
      </c>
      <c r="C46" s="101" t="str">
        <f>VLOOKUP($A46,[3]PERTANYAAN!$A$18:$E$71,3,0)</f>
        <v>Komunikasi</v>
      </c>
      <c r="D46" s="46">
        <f>VLOOKUP($A46,[3]PERTANYAAN!$A$18:$E$71,5,0)</f>
        <v>0.1</v>
      </c>
      <c r="E46" s="17"/>
      <c r="F46" s="16"/>
      <c r="G46" s="16"/>
      <c r="H46" s="102"/>
      <c r="I46" s="102"/>
      <c r="J46" s="102"/>
      <c r="K46" s="102"/>
      <c r="L46" s="102" t="s">
        <v>16</v>
      </c>
      <c r="M46" s="16">
        <f>IF(H46="V",$D46*H$15,IF(I46="V",$D46*I$15,IF(J46="V",$D46*J$15,IF(K46="V",$D46*K$15,IF(L46="V",$D46*L$15,0)))))*100</f>
        <v>10</v>
      </c>
      <c r="N46" s="102"/>
    </row>
    <row r="47" spans="1:14" x14ac:dyDescent="0.4">
      <c r="A47" s="99" t="s">
        <v>116</v>
      </c>
      <c r="B47" s="100" t="s">
        <v>6</v>
      </c>
      <c r="C47" s="101" t="str">
        <f>VLOOKUP($A47,[3]PERTANYAAN!$A$18:$E$71,3,0)</f>
        <v>Patuh pada Peraturan / Commitment</v>
      </c>
      <c r="D47" s="46">
        <f>VLOOKUP($A47,[3]PERTANYAAN!$A$18:$E$71,5,0)</f>
        <v>0.05</v>
      </c>
      <c r="E47" s="17"/>
      <c r="F47" s="16"/>
      <c r="G47" s="16"/>
      <c r="H47" s="102"/>
      <c r="I47" s="102"/>
      <c r="J47" s="102"/>
      <c r="K47" s="102" t="s">
        <v>16</v>
      </c>
      <c r="L47" s="102"/>
      <c r="M47" s="16">
        <f>IF(H47="V",$D47*H$15,IF(I47="V",$D47*I$15,IF(J47="V",$D47*J$15,IF(K47="V",$D47*K$15,IF(L47="V",$D47*L$15,0)))))*100</f>
        <v>4.0000000000000009</v>
      </c>
      <c r="N47" s="102" t="s">
        <v>213</v>
      </c>
    </row>
    <row r="48" spans="1:14" x14ac:dyDescent="0.4">
      <c r="A48" s="99" t="s">
        <v>117</v>
      </c>
      <c r="B48" s="100" t="s">
        <v>6</v>
      </c>
      <c r="C48" s="101" t="str">
        <f>VLOOKUP($A48,[3]PERTANYAAN!$A$18:$E$71,3,0)</f>
        <v>Determinasi thd tekanan</v>
      </c>
      <c r="D48" s="46">
        <f>VLOOKUP($A48,[3]PERTANYAAN!$A$18:$E$71,5,0)</f>
        <v>7.4999999999999997E-2</v>
      </c>
      <c r="E48" s="17"/>
      <c r="F48" s="16"/>
      <c r="G48" s="16"/>
      <c r="H48" s="102"/>
      <c r="I48" s="102"/>
      <c r="J48" s="102"/>
      <c r="K48" s="102"/>
      <c r="L48" s="102" t="s">
        <v>16</v>
      </c>
      <c r="M48" s="16">
        <f>IF(H48="V",$D48*H$15,IF(I48="V",$D48*I$15,IF(J48="V",$D48*J$15,IF(K48="V",$D48*K$15,IF(L48="V",$D48*L$15,0)))))*100</f>
        <v>7.5</v>
      </c>
      <c r="N48" s="102"/>
    </row>
    <row r="49" spans="1:14" x14ac:dyDescent="0.4">
      <c r="A49" s="92"/>
      <c r="B49" s="100"/>
      <c r="C49" s="103"/>
      <c r="D49" s="17"/>
      <c r="E49" s="17"/>
      <c r="F49" s="16"/>
      <c r="G49" s="16"/>
      <c r="H49" s="102"/>
      <c r="I49" s="102"/>
      <c r="J49" s="102"/>
      <c r="K49" s="102"/>
      <c r="L49" s="102"/>
      <c r="M49" s="16"/>
      <c r="N49" s="102"/>
    </row>
    <row r="50" spans="1:14" hidden="1" outlineLevel="1" x14ac:dyDescent="0.4">
      <c r="A50" s="92"/>
      <c r="B50" s="104">
        <v>2</v>
      </c>
      <c r="C50" s="103" t="s">
        <v>26</v>
      </c>
      <c r="D50" s="17"/>
      <c r="E50" s="17"/>
      <c r="F50" s="16"/>
      <c r="G50" s="16"/>
      <c r="H50" s="102"/>
      <c r="I50" s="102"/>
      <c r="J50" s="102"/>
      <c r="K50" s="102"/>
      <c r="L50" s="102"/>
      <c r="M50" s="16"/>
      <c r="N50" s="102"/>
    </row>
    <row r="51" spans="1:14" hidden="1" outlineLevel="1" x14ac:dyDescent="0.4">
      <c r="A51" s="92"/>
      <c r="B51" s="100" t="s">
        <v>6</v>
      </c>
      <c r="C51" s="103" t="s">
        <v>54</v>
      </c>
      <c r="D51" s="17"/>
      <c r="E51" s="17"/>
      <c r="F51" s="16"/>
      <c r="G51" s="16"/>
      <c r="H51" s="102"/>
      <c r="I51" s="102"/>
      <c r="J51" s="102"/>
      <c r="K51" s="102"/>
      <c r="L51" s="102"/>
      <c r="M51" s="16"/>
      <c r="N51" s="102"/>
    </row>
    <row r="52" spans="1:14" hidden="1" outlineLevel="1" x14ac:dyDescent="0.4">
      <c r="A52" s="92"/>
      <c r="B52" s="100" t="s">
        <v>6</v>
      </c>
      <c r="C52" s="103" t="s">
        <v>55</v>
      </c>
      <c r="D52" s="17"/>
      <c r="E52" s="17"/>
      <c r="F52" s="16"/>
      <c r="G52" s="16"/>
      <c r="H52" s="102"/>
      <c r="I52" s="102"/>
      <c r="J52" s="102"/>
      <c r="K52" s="102"/>
      <c r="L52" s="102"/>
      <c r="M52" s="16"/>
      <c r="N52" s="102"/>
    </row>
    <row r="53" spans="1:14" hidden="1" outlineLevel="1" x14ac:dyDescent="0.4">
      <c r="A53" s="92"/>
      <c r="B53" s="100" t="s">
        <v>6</v>
      </c>
      <c r="C53" s="103" t="s">
        <v>56</v>
      </c>
      <c r="D53" s="17"/>
      <c r="E53" s="17"/>
      <c r="F53" s="16"/>
      <c r="G53" s="16"/>
      <c r="H53" s="102"/>
      <c r="I53" s="102"/>
      <c r="J53" s="102"/>
      <c r="K53" s="102"/>
      <c r="L53" s="102"/>
      <c r="M53" s="16"/>
      <c r="N53" s="102"/>
    </row>
    <row r="54" spans="1:14" hidden="1" outlineLevel="1" x14ac:dyDescent="0.4">
      <c r="A54" s="92"/>
      <c r="B54" s="100"/>
      <c r="C54" s="103"/>
      <c r="D54" s="17"/>
      <c r="E54" s="17"/>
      <c r="F54" s="16"/>
      <c r="G54" s="16"/>
      <c r="H54" s="102"/>
      <c r="I54" s="102"/>
      <c r="J54" s="102"/>
      <c r="K54" s="102"/>
      <c r="L54" s="102"/>
      <c r="M54" s="16"/>
      <c r="N54" s="102"/>
    </row>
    <row r="55" spans="1:14" hidden="1" outlineLevel="1" x14ac:dyDescent="0.4">
      <c r="A55" s="92"/>
      <c r="B55" s="104">
        <v>3</v>
      </c>
      <c r="C55" s="103" t="s">
        <v>27</v>
      </c>
      <c r="D55" s="17"/>
      <c r="E55" s="17"/>
      <c r="F55" s="16"/>
      <c r="G55" s="16"/>
      <c r="H55" s="102"/>
      <c r="I55" s="102"/>
      <c r="J55" s="102"/>
      <c r="K55" s="102"/>
      <c r="L55" s="102"/>
      <c r="M55" s="16"/>
      <c r="N55" s="102"/>
    </row>
    <row r="56" spans="1:14" hidden="1" outlineLevel="1" x14ac:dyDescent="0.4">
      <c r="A56" s="92"/>
      <c r="B56" s="100" t="s">
        <v>6</v>
      </c>
      <c r="C56" s="103" t="s">
        <v>54</v>
      </c>
      <c r="D56" s="17"/>
      <c r="E56" s="17"/>
      <c r="F56" s="16"/>
      <c r="G56" s="16"/>
      <c r="H56" s="102"/>
      <c r="I56" s="102"/>
      <c r="J56" s="102"/>
      <c r="K56" s="102"/>
      <c r="L56" s="102"/>
      <c r="M56" s="16"/>
      <c r="N56" s="102"/>
    </row>
    <row r="57" spans="1:14" hidden="1" outlineLevel="1" x14ac:dyDescent="0.4">
      <c r="A57" s="92"/>
      <c r="B57" s="100" t="s">
        <v>6</v>
      </c>
      <c r="C57" s="103" t="s">
        <v>56</v>
      </c>
      <c r="D57" s="17"/>
      <c r="E57" s="17"/>
      <c r="F57" s="16"/>
      <c r="G57" s="16"/>
      <c r="H57" s="102"/>
      <c r="I57" s="102"/>
      <c r="J57" s="102"/>
      <c r="K57" s="102"/>
      <c r="L57" s="102"/>
      <c r="M57" s="16"/>
      <c r="N57" s="102"/>
    </row>
    <row r="58" spans="1:14" hidden="1" outlineLevel="1" x14ac:dyDescent="0.4">
      <c r="A58" s="92"/>
      <c r="B58" s="100" t="s">
        <v>6</v>
      </c>
      <c r="C58" s="103" t="s">
        <v>57</v>
      </c>
      <c r="D58" s="17"/>
      <c r="E58" s="17"/>
      <c r="F58" s="16"/>
      <c r="G58" s="16"/>
      <c r="H58" s="102"/>
      <c r="I58" s="102"/>
      <c r="J58" s="102"/>
      <c r="K58" s="102"/>
      <c r="L58" s="102"/>
      <c r="M58" s="16"/>
      <c r="N58" s="102"/>
    </row>
    <row r="59" spans="1:14" hidden="1" outlineLevel="1" x14ac:dyDescent="0.4">
      <c r="A59" s="92"/>
      <c r="B59" s="104"/>
      <c r="C59" s="103"/>
      <c r="D59" s="17"/>
      <c r="E59" s="17"/>
      <c r="F59" s="16"/>
      <c r="G59" s="16"/>
      <c r="H59" s="102"/>
      <c r="I59" s="102"/>
      <c r="J59" s="102"/>
      <c r="K59" s="102"/>
      <c r="L59" s="102"/>
      <c r="M59" s="16"/>
      <c r="N59" s="102"/>
    </row>
    <row r="60" spans="1:14" s="2" customFormat="1" collapsed="1" x14ac:dyDescent="0.4">
      <c r="A60" s="3"/>
      <c r="B60" s="48" t="s">
        <v>99</v>
      </c>
      <c r="C60" s="49" t="s">
        <v>46</v>
      </c>
      <c r="D60" s="51">
        <f>SUM(D61:D64)</f>
        <v>0.15</v>
      </c>
      <c r="E60" s="51"/>
      <c r="F60" s="54"/>
      <c r="G60" s="54"/>
      <c r="H60" s="59"/>
      <c r="I60" s="59"/>
      <c r="J60" s="59"/>
      <c r="K60" s="59"/>
      <c r="L60" s="59"/>
      <c r="M60" s="54">
        <f>SUM(M61:M64)</f>
        <v>13.5</v>
      </c>
      <c r="N60" s="59"/>
    </row>
    <row r="61" spans="1:14" x14ac:dyDescent="0.4">
      <c r="A61" s="99" t="s">
        <v>118</v>
      </c>
      <c r="B61" s="100" t="s">
        <v>6</v>
      </c>
      <c r="C61" s="101" t="str">
        <f>VLOOKUP($A61,[3]PERTANYAAN!$A$18:$E$71,3,0)</f>
        <v>Antusiasme / Keinginan bergabung</v>
      </c>
      <c r="D61" s="46">
        <f>VLOOKUP($A61,[3]PERTANYAAN!$A$18:$E$71,5,0)</f>
        <v>7.4999999999999997E-2</v>
      </c>
      <c r="E61" s="17"/>
      <c r="F61" s="16"/>
      <c r="G61" s="16"/>
      <c r="H61" s="102"/>
      <c r="I61" s="102"/>
      <c r="J61" s="102"/>
      <c r="K61" s="102" t="s">
        <v>16</v>
      </c>
      <c r="L61" s="102"/>
      <c r="M61" s="16">
        <f t="shared" ref="M61:M63" si="2">IF(H61="V",$D61*H$15,IF(I61="V",$D61*I$15,IF(J61="V",$D61*J$15,IF(K61="V",$D61*K$15,IF(L61="V",$D61*L$15,0)))))*100</f>
        <v>6</v>
      </c>
      <c r="N61" s="102"/>
    </row>
    <row r="62" spans="1:14" x14ac:dyDescent="0.4">
      <c r="A62" s="99" t="s">
        <v>119</v>
      </c>
      <c r="B62" s="100" t="s">
        <v>6</v>
      </c>
      <c r="C62" s="101" t="str">
        <f>VLOOKUP($A62,[3]PERTANYAAN!$A$18:$E$71,3,0)</f>
        <v>Inisiatif</v>
      </c>
      <c r="D62" s="46">
        <f>VLOOKUP($A62,[3]PERTANYAAN!$A$18:$E$71,5,0)</f>
        <v>0.05</v>
      </c>
      <c r="E62" s="17"/>
      <c r="F62" s="16"/>
      <c r="G62" s="16"/>
      <c r="H62" s="102"/>
      <c r="I62" s="102"/>
      <c r="J62" s="102"/>
      <c r="K62" s="102"/>
      <c r="L62" s="102" t="s">
        <v>16</v>
      </c>
      <c r="M62" s="16">
        <f t="shared" si="2"/>
        <v>5</v>
      </c>
      <c r="N62" s="102"/>
    </row>
    <row r="63" spans="1:14" x14ac:dyDescent="0.4">
      <c r="A63" s="99" t="s">
        <v>120</v>
      </c>
      <c r="B63" s="100" t="s">
        <v>6</v>
      </c>
      <c r="C63" s="101" t="str">
        <f>VLOOKUP($A63,[3]PERTANYAAN!$A$18:$E$71,3,0)</f>
        <v>Adaptif</v>
      </c>
      <c r="D63" s="46">
        <f>VLOOKUP($A63,[3]PERTANYAAN!$A$18:$E$71,5,0)</f>
        <v>2.5000000000000001E-2</v>
      </c>
      <c r="E63" s="17"/>
      <c r="F63" s="16"/>
      <c r="G63" s="16"/>
      <c r="H63" s="102"/>
      <c r="I63" s="102"/>
      <c r="J63" s="102"/>
      <c r="K63" s="102"/>
      <c r="L63" s="102" t="s">
        <v>16</v>
      </c>
      <c r="M63" s="16">
        <f t="shared" si="2"/>
        <v>2.5</v>
      </c>
      <c r="N63" s="102"/>
    </row>
    <row r="64" spans="1:14" x14ac:dyDescent="0.4">
      <c r="A64" s="92"/>
      <c r="B64" s="104"/>
      <c r="C64" s="103"/>
      <c r="D64" s="17"/>
      <c r="E64" s="17"/>
      <c r="F64" s="16"/>
      <c r="G64" s="16"/>
      <c r="H64" s="102"/>
      <c r="I64" s="102"/>
      <c r="J64" s="102"/>
      <c r="K64" s="102"/>
      <c r="L64" s="102"/>
      <c r="M64" s="16"/>
      <c r="N64" s="102"/>
    </row>
    <row r="65" spans="1:14" s="2" customFormat="1" x14ac:dyDescent="0.4">
      <c r="A65" s="3"/>
      <c r="B65" s="48" t="s">
        <v>100</v>
      </c>
      <c r="C65" s="49" t="s">
        <v>48</v>
      </c>
      <c r="D65" s="51">
        <f>SUM(D66:D68)</f>
        <v>0.05</v>
      </c>
      <c r="E65" s="51"/>
      <c r="F65" s="54"/>
      <c r="G65" s="54"/>
      <c r="H65" s="59"/>
      <c r="I65" s="59"/>
      <c r="J65" s="59"/>
      <c r="K65" s="59"/>
      <c r="L65" s="59"/>
      <c r="M65" s="54">
        <f>SUM(M66:M68)</f>
        <v>4</v>
      </c>
      <c r="N65" s="59"/>
    </row>
    <row r="66" spans="1:14" x14ac:dyDescent="0.4">
      <c r="A66" s="99" t="s">
        <v>121</v>
      </c>
      <c r="B66" s="100" t="s">
        <v>6</v>
      </c>
      <c r="C66" s="101" t="str">
        <f>VLOOKUP($A66,[3]PERTANYAAN!$A$18:$E$71,3,0)</f>
        <v>Ekspektasi Salary (Mengukur Budget &amp; Skill)</v>
      </c>
      <c r="D66" s="46">
        <f>VLOOKUP($A66,[3]PERTANYAAN!$A$18:$E$71,5,0)</f>
        <v>0.04</v>
      </c>
      <c r="E66" s="17"/>
      <c r="F66" s="16"/>
      <c r="G66" s="16"/>
      <c r="H66" s="102"/>
      <c r="I66" s="102"/>
      <c r="J66" s="102"/>
      <c r="K66" s="102" t="s">
        <v>16</v>
      </c>
      <c r="L66" s="102"/>
      <c r="M66" s="16">
        <f t="shared" ref="M66:M67" si="3">IF(H66="V",$D66*H$15,IF(I66="V",$D66*I$15,IF(J66="V",$D66*J$15,IF(K66="V",$D66*K$15,IF(L66="V",$D66*L$15,0)))))*100</f>
        <v>3.2</v>
      </c>
      <c r="N66" s="102" t="s">
        <v>166</v>
      </c>
    </row>
    <row r="67" spans="1:14" x14ac:dyDescent="0.4">
      <c r="A67" s="99" t="s">
        <v>122</v>
      </c>
      <c r="B67" s="100" t="s">
        <v>6</v>
      </c>
      <c r="C67" s="101" t="str">
        <f>VLOOKUP($A67,[3]PERTANYAAN!$A$18:$E$71,3,0)</f>
        <v>Tujuan Karir</v>
      </c>
      <c r="D67" s="46">
        <f>VLOOKUP($A67,[3]PERTANYAAN!$A$18:$E$71,5,0)</f>
        <v>0.01</v>
      </c>
      <c r="E67" s="17"/>
      <c r="F67" s="16"/>
      <c r="G67" s="16"/>
      <c r="H67" s="102"/>
      <c r="I67" s="102"/>
      <c r="J67" s="102"/>
      <c r="K67" s="102" t="s">
        <v>16</v>
      </c>
      <c r="L67" s="102"/>
      <c r="M67" s="16">
        <f t="shared" si="3"/>
        <v>0.8</v>
      </c>
      <c r="N67" s="102"/>
    </row>
    <row r="68" spans="1:14" x14ac:dyDescent="0.4">
      <c r="A68" s="99"/>
      <c r="B68" s="104"/>
      <c r="C68" s="103"/>
      <c r="D68" s="17"/>
      <c r="E68" s="17"/>
      <c r="F68" s="16"/>
      <c r="G68" s="16"/>
      <c r="H68" s="102"/>
      <c r="I68" s="102"/>
      <c r="J68" s="102"/>
      <c r="K68" s="102"/>
      <c r="L68" s="102"/>
      <c r="M68" s="16"/>
      <c r="N68" s="102"/>
    </row>
    <row r="69" spans="1:14" s="2" customFormat="1" x14ac:dyDescent="0.4">
      <c r="A69" s="3"/>
      <c r="B69" s="48" t="s">
        <v>101</v>
      </c>
      <c r="C69" s="49" t="s">
        <v>134</v>
      </c>
      <c r="D69" s="51">
        <f>SUM(D70:D70)</f>
        <v>0.05</v>
      </c>
      <c r="E69" s="51"/>
      <c r="F69" s="54"/>
      <c r="G69" s="54"/>
      <c r="H69" s="59"/>
      <c r="I69" s="59"/>
      <c r="J69" s="59"/>
      <c r="K69" s="59"/>
      <c r="L69" s="59"/>
      <c r="M69" s="54">
        <f>SUM(M70)</f>
        <v>0</v>
      </c>
      <c r="N69" s="59"/>
    </row>
    <row r="70" spans="1:14" x14ac:dyDescent="0.4">
      <c r="A70" s="99" t="s">
        <v>123</v>
      </c>
      <c r="B70" s="100" t="s">
        <v>6</v>
      </c>
      <c r="C70" s="101" t="str">
        <f>VLOOKUP($A70,[3]PERTANYAAN!$A$18:$E$71,3,0)</f>
        <v>Pertanyaan Spesifik User</v>
      </c>
      <c r="D70" s="46">
        <f>VLOOKUP($A70,[3]PERTANYAAN!$A$18:$E$71,5,0)</f>
        <v>0.05</v>
      </c>
      <c r="E70" s="17"/>
      <c r="F70" s="16"/>
      <c r="G70" s="16"/>
      <c r="H70" s="102"/>
      <c r="I70" s="102"/>
      <c r="J70" s="102"/>
      <c r="K70" s="102"/>
      <c r="L70" s="102"/>
      <c r="M70" s="16">
        <f t="shared" ref="M70" si="4">IF(H70="V",$D70*H$15,IF(I70="V",$D70*I$15,IF(J70="V",$D70*J$15,IF(K70="V",$D70*K$15,IF(L70="V",$D70*L$15,0)))))*100</f>
        <v>0</v>
      </c>
      <c r="N70" s="102"/>
    </row>
    <row r="71" spans="1:14" x14ac:dyDescent="0.4">
      <c r="B71" s="105"/>
      <c r="C71" s="106"/>
      <c r="D71" s="22"/>
      <c r="E71" s="22"/>
      <c r="F71" s="21"/>
      <c r="G71" s="21"/>
      <c r="H71" s="107"/>
      <c r="I71" s="107"/>
      <c r="J71" s="107"/>
      <c r="K71" s="107"/>
      <c r="L71" s="107"/>
      <c r="M71" s="21"/>
      <c r="N71" s="107"/>
    </row>
    <row r="73" spans="1:14" x14ac:dyDescent="0.4">
      <c r="A73" s="94" t="s">
        <v>186</v>
      </c>
      <c r="C73" s="108" t="s">
        <v>187</v>
      </c>
      <c r="N73" s="108"/>
    </row>
    <row r="74" spans="1:14" x14ac:dyDescent="0.4">
      <c r="C74" s="108"/>
      <c r="N74" s="108"/>
    </row>
    <row r="76" spans="1:14" x14ac:dyDescent="0.4">
      <c r="A76" s="94" t="s">
        <v>189</v>
      </c>
      <c r="C76" s="108" t="s">
        <v>190</v>
      </c>
      <c r="N76" s="108" t="s">
        <v>214</v>
      </c>
    </row>
    <row r="77" spans="1:14" x14ac:dyDescent="0.4">
      <c r="C77" s="108"/>
      <c r="N77" s="108"/>
    </row>
  </sheetData>
  <mergeCells count="12">
    <mergeCell ref="M13:M14"/>
    <mergeCell ref="N13:N14"/>
    <mergeCell ref="C73:C74"/>
    <mergeCell ref="N73:N74"/>
    <mergeCell ref="C76:C77"/>
    <mergeCell ref="N76:N77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FAF3-6665-4392-9EBA-A32CF96046BE}">
  <sheetPr>
    <tabColor theme="8" tint="0.39997558519241921"/>
  </sheetPr>
  <dimension ref="A1:N77"/>
  <sheetViews>
    <sheetView zoomScaleNormal="100" workbookViewId="0">
      <pane xSplit="1" ySplit="14" topLeftCell="B15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C13" sqref="C13:C14"/>
    </sheetView>
  </sheetViews>
  <sheetFormatPr defaultRowHeight="14.6" outlineLevelRow="1" x14ac:dyDescent="0.4"/>
  <cols>
    <col min="1" max="1" width="17.69140625" style="93" customWidth="1"/>
    <col min="2" max="2" width="4.3046875" style="92" bestFit="1" customWidth="1"/>
    <col min="3" max="3" width="40.07421875" style="93" bestFit="1" customWidth="1"/>
    <col min="4" max="4" width="9.23046875" style="5"/>
    <col min="5" max="5" width="1.69140625" style="5" customWidth="1"/>
    <col min="6" max="7" width="9.23046875" style="4"/>
    <col min="8" max="12" width="9.23046875" style="94"/>
    <col min="13" max="13" width="9.23046875" style="4"/>
    <col min="14" max="14" width="58.23046875" style="94" bestFit="1" customWidth="1"/>
    <col min="15" max="16384" width="9.23046875" style="93"/>
  </cols>
  <sheetData>
    <row r="1" spans="1:14" x14ac:dyDescent="0.4">
      <c r="A1" s="2" t="s">
        <v>125</v>
      </c>
    </row>
    <row r="2" spans="1:14" x14ac:dyDescent="0.4">
      <c r="A2" s="2" t="s">
        <v>0</v>
      </c>
    </row>
    <row r="5" spans="1:14" x14ac:dyDescent="0.4">
      <c r="A5" s="2" t="s">
        <v>1</v>
      </c>
      <c r="B5" s="92" t="s">
        <v>29</v>
      </c>
      <c r="C5" s="2" t="s">
        <v>130</v>
      </c>
    </row>
    <row r="6" spans="1:14" x14ac:dyDescent="0.4">
      <c r="A6" s="2" t="s">
        <v>20</v>
      </c>
      <c r="B6" s="92" t="s">
        <v>29</v>
      </c>
      <c r="C6" s="93" t="s">
        <v>31</v>
      </c>
      <c r="L6" s="26" t="s">
        <v>61</v>
      </c>
      <c r="M6" s="94"/>
    </row>
    <row r="7" spans="1:14" x14ac:dyDescent="0.4">
      <c r="A7" s="2" t="s">
        <v>32</v>
      </c>
      <c r="B7" s="92" t="s">
        <v>29</v>
      </c>
      <c r="C7" s="93" t="s">
        <v>175</v>
      </c>
      <c r="L7" s="94" t="s">
        <v>39</v>
      </c>
      <c r="M7" s="94" t="s">
        <v>29</v>
      </c>
      <c r="N7" s="95" t="s">
        <v>69</v>
      </c>
    </row>
    <row r="8" spans="1:14" x14ac:dyDescent="0.4">
      <c r="A8" s="2" t="s">
        <v>34</v>
      </c>
      <c r="B8" s="92" t="s">
        <v>29</v>
      </c>
      <c r="C8" s="93" t="s">
        <v>35</v>
      </c>
      <c r="L8" s="94" t="s">
        <v>40</v>
      </c>
      <c r="M8" s="94" t="s">
        <v>29</v>
      </c>
      <c r="N8" s="95" t="s">
        <v>70</v>
      </c>
    </row>
    <row r="9" spans="1:14" x14ac:dyDescent="0.4">
      <c r="A9" s="2" t="s">
        <v>28</v>
      </c>
      <c r="B9" s="92" t="s">
        <v>29</v>
      </c>
      <c r="L9" s="94" t="s">
        <v>41</v>
      </c>
      <c r="M9" s="94" t="s">
        <v>29</v>
      </c>
      <c r="N9" s="95" t="s">
        <v>71</v>
      </c>
    </row>
    <row r="10" spans="1:14" x14ac:dyDescent="0.4">
      <c r="A10" s="2" t="s">
        <v>38</v>
      </c>
      <c r="B10" s="92" t="s">
        <v>29</v>
      </c>
      <c r="C10" s="2" t="s">
        <v>177</v>
      </c>
      <c r="D10" s="6" t="s">
        <v>92</v>
      </c>
      <c r="L10" s="94" t="s">
        <v>42</v>
      </c>
      <c r="M10" s="94" t="s">
        <v>29</v>
      </c>
      <c r="N10" s="95" t="s">
        <v>72</v>
      </c>
    </row>
    <row r="11" spans="1:14" x14ac:dyDescent="0.4">
      <c r="A11" s="2" t="s">
        <v>67</v>
      </c>
      <c r="B11" s="92" t="s">
        <v>29</v>
      </c>
      <c r="C11" s="24">
        <f>M16</f>
        <v>64.3</v>
      </c>
      <c r="L11" s="94" t="s">
        <v>43</v>
      </c>
      <c r="M11" s="94" t="s">
        <v>29</v>
      </c>
      <c r="N11" s="95" t="s">
        <v>73</v>
      </c>
    </row>
    <row r="13" spans="1:14" s="2" customFormat="1" x14ac:dyDescent="0.4">
      <c r="A13" s="67" t="s">
        <v>124</v>
      </c>
      <c r="B13" s="68" t="s">
        <v>2</v>
      </c>
      <c r="C13" s="68" t="s">
        <v>3</v>
      </c>
      <c r="D13" s="70" t="s">
        <v>19</v>
      </c>
      <c r="E13" s="42"/>
      <c r="F13" s="65" t="s">
        <v>18</v>
      </c>
      <c r="G13" s="65"/>
      <c r="H13" s="68" t="s">
        <v>37</v>
      </c>
      <c r="I13" s="68"/>
      <c r="J13" s="68"/>
      <c r="K13" s="68"/>
      <c r="L13" s="68"/>
      <c r="M13" s="65" t="s">
        <v>17</v>
      </c>
      <c r="N13" s="66" t="s">
        <v>61</v>
      </c>
    </row>
    <row r="14" spans="1:14" s="2" customFormat="1" x14ac:dyDescent="0.4">
      <c r="A14" s="67"/>
      <c r="B14" s="68"/>
      <c r="C14" s="96"/>
      <c r="D14" s="71"/>
      <c r="E14" s="44"/>
      <c r="F14" s="43" t="s">
        <v>14</v>
      </c>
      <c r="G14" s="43" t="s">
        <v>15</v>
      </c>
      <c r="H14" s="41" t="s">
        <v>39</v>
      </c>
      <c r="I14" s="41" t="s">
        <v>40</v>
      </c>
      <c r="J14" s="41" t="s">
        <v>41</v>
      </c>
      <c r="K14" s="41" t="s">
        <v>42</v>
      </c>
      <c r="L14" s="41" t="s">
        <v>43</v>
      </c>
      <c r="M14" s="65"/>
      <c r="N14" s="66"/>
    </row>
    <row r="15" spans="1:14" s="2" customFormat="1" x14ac:dyDescent="0.4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0"/>
    </row>
    <row r="16" spans="1:14" s="2" customFormat="1" x14ac:dyDescent="0.4">
      <c r="A16" s="3"/>
      <c r="B16" s="39"/>
      <c r="C16" s="63" t="s">
        <v>65</v>
      </c>
      <c r="D16" s="39"/>
      <c r="E16" s="39"/>
      <c r="F16" s="61"/>
      <c r="G16" s="61"/>
      <c r="H16" s="39"/>
      <c r="I16" s="39"/>
      <c r="J16" s="39"/>
      <c r="K16" s="39"/>
      <c r="L16" s="39"/>
      <c r="M16" s="40">
        <f>M17+M21+M27+M43+M60+M65+M69</f>
        <v>64.3</v>
      </c>
      <c r="N16" s="39"/>
    </row>
    <row r="17" spans="1:14" x14ac:dyDescent="0.4">
      <c r="B17" s="48" t="s">
        <v>66</v>
      </c>
      <c r="C17" s="49" t="s">
        <v>8</v>
      </c>
      <c r="D17" s="51">
        <f>SUM(D18:D19)</f>
        <v>0.1</v>
      </c>
      <c r="E17" s="51"/>
      <c r="F17" s="54"/>
      <c r="G17" s="54"/>
      <c r="H17" s="97"/>
      <c r="I17" s="97"/>
      <c r="J17" s="97"/>
      <c r="K17" s="97"/>
      <c r="L17" s="97"/>
      <c r="M17" s="54">
        <f>SUM(M18:M20)</f>
        <v>6</v>
      </c>
      <c r="N17" s="97"/>
    </row>
    <row r="18" spans="1:14" x14ac:dyDescent="0.4">
      <c r="A18" s="99" t="s">
        <v>102</v>
      </c>
      <c r="B18" s="100">
        <v>1</v>
      </c>
      <c r="C18" s="101" t="str">
        <f>VLOOKUP($A18,[3]PERTANYAAN!$A$18:$E$71,3,0)</f>
        <v>Pengalaman di dalam Daniswara Group</v>
      </c>
      <c r="D18" s="46">
        <f>VLOOKUP($A18,[3]PERTANYAAN!$A$18:$E$71,5,0)</f>
        <v>0.06</v>
      </c>
      <c r="E18" s="17"/>
      <c r="F18" s="16" t="s">
        <v>16</v>
      </c>
      <c r="G18" s="16"/>
      <c r="H18" s="102"/>
      <c r="I18" s="102"/>
      <c r="J18" s="102"/>
      <c r="K18" s="102"/>
      <c r="L18" s="102"/>
      <c r="M18" s="16">
        <f>IF(F18="V",D18*100,0)</f>
        <v>6</v>
      </c>
      <c r="N18" s="102"/>
    </row>
    <row r="19" spans="1:14" x14ac:dyDescent="0.4">
      <c r="A19" s="99" t="s">
        <v>103</v>
      </c>
      <c r="B19" s="100">
        <f>B18+1</f>
        <v>2</v>
      </c>
      <c r="C19" s="101" t="str">
        <f>VLOOKUP($A19,[3]PERTANYAAN!$A$18:$E$71,3,0)</f>
        <v>Pengalaman di luar Daniswara Group</v>
      </c>
      <c r="D19" s="46">
        <f>VLOOKUP($A19,[3]PERTANYAAN!$A$18:$E$71,5,0)</f>
        <v>0.04</v>
      </c>
      <c r="E19" s="17"/>
      <c r="F19" s="16"/>
      <c r="G19" s="16" t="s">
        <v>16</v>
      </c>
      <c r="H19" s="102"/>
      <c r="I19" s="102"/>
      <c r="J19" s="102"/>
      <c r="K19" s="102"/>
      <c r="L19" s="102"/>
      <c r="M19" s="16">
        <f>IF(F19="V",D19*100,0)</f>
        <v>0</v>
      </c>
      <c r="N19" s="102"/>
    </row>
    <row r="20" spans="1:14" x14ac:dyDescent="0.4">
      <c r="A20" s="92"/>
      <c r="B20" s="104"/>
      <c r="C20" s="103"/>
      <c r="D20" s="17"/>
      <c r="E20" s="17"/>
      <c r="F20" s="16"/>
      <c r="G20" s="16"/>
      <c r="H20" s="102"/>
      <c r="I20" s="102"/>
      <c r="J20" s="102"/>
      <c r="K20" s="102"/>
      <c r="L20" s="102"/>
      <c r="M20" s="16"/>
      <c r="N20" s="102"/>
    </row>
    <row r="21" spans="1:14" x14ac:dyDescent="0.4">
      <c r="A21" s="92"/>
      <c r="B21" s="48" t="s">
        <v>42</v>
      </c>
      <c r="C21" s="49" t="s">
        <v>9</v>
      </c>
      <c r="D21" s="51">
        <f>SUM(D22:D25)</f>
        <v>0.05</v>
      </c>
      <c r="E21" s="51"/>
      <c r="F21" s="54"/>
      <c r="G21" s="54"/>
      <c r="H21" s="97"/>
      <c r="I21" s="97"/>
      <c r="J21" s="97"/>
      <c r="K21" s="97"/>
      <c r="L21" s="97"/>
      <c r="M21" s="54">
        <f>SUM(M22:M25)</f>
        <v>3</v>
      </c>
      <c r="N21" s="97"/>
    </row>
    <row r="22" spans="1:14" x14ac:dyDescent="0.4">
      <c r="A22" s="99" t="s">
        <v>104</v>
      </c>
      <c r="B22" s="100">
        <v>1</v>
      </c>
      <c r="C22" s="101" t="str">
        <f>VLOOKUP($A22,[3]PERTANYAAN!$A$18:$E$71,3,0)</f>
        <v>Identitas (KTP &amp; KK)</v>
      </c>
      <c r="D22" s="46">
        <f>VLOOKUP($A22,[3]PERTANYAAN!$A$18:$E$71,5,0)</f>
        <v>0.01</v>
      </c>
      <c r="E22" s="17"/>
      <c r="F22" s="16" t="s">
        <v>16</v>
      </c>
      <c r="G22" s="16"/>
      <c r="H22" s="102"/>
      <c r="I22" s="102"/>
      <c r="J22" s="102"/>
      <c r="K22" s="102"/>
      <c r="L22" s="102"/>
      <c r="M22" s="16">
        <f>IF(F22="V",D22*100,0)</f>
        <v>1</v>
      </c>
      <c r="N22" s="102"/>
    </row>
    <row r="23" spans="1:14" x14ac:dyDescent="0.4">
      <c r="A23" s="99" t="s">
        <v>105</v>
      </c>
      <c r="B23" s="100">
        <f>B22+1</f>
        <v>2</v>
      </c>
      <c r="C23" s="101" t="str">
        <f>VLOOKUP($A23,[3]PERTANYAAN!$A$18:$E$71,3,0)</f>
        <v>SIM A (utk jabatan di Divisi Operasi)</v>
      </c>
      <c r="D23" s="46">
        <f>VLOOKUP($A23,[3]PERTANYAAN!$A$18:$E$71,5,0)</f>
        <v>0.02</v>
      </c>
      <c r="E23" s="17"/>
      <c r="F23" s="16"/>
      <c r="G23" s="16" t="s">
        <v>16</v>
      </c>
      <c r="H23" s="102"/>
      <c r="I23" s="102"/>
      <c r="J23" s="102"/>
      <c r="K23" s="102"/>
      <c r="L23" s="102"/>
      <c r="M23" s="16">
        <f>IF(F23="V",D23*100,0)</f>
        <v>0</v>
      </c>
      <c r="N23" s="102" t="s">
        <v>215</v>
      </c>
    </row>
    <row r="24" spans="1:14" x14ac:dyDescent="0.4">
      <c r="A24" s="99" t="s">
        <v>106</v>
      </c>
      <c r="B24" s="100">
        <f t="shared" ref="B24:B25" si="0">B23+1</f>
        <v>3</v>
      </c>
      <c r="C24" s="101" t="str">
        <f>VLOOKUP($A24,[3]PERTANYAAN!$A$18:$E$71,3,0)</f>
        <v>SIM C</v>
      </c>
      <c r="D24" s="46">
        <f>VLOOKUP($A24,[3]PERTANYAAN!$A$18:$E$71,5,0)</f>
        <v>0.01</v>
      </c>
      <c r="E24" s="17"/>
      <c r="F24" s="16" t="s">
        <v>16</v>
      </c>
      <c r="G24" s="16"/>
      <c r="H24" s="102"/>
      <c r="I24" s="102"/>
      <c r="J24" s="102"/>
      <c r="K24" s="102"/>
      <c r="L24" s="102"/>
      <c r="M24" s="16">
        <f>IF(F24="V",D24*100,0)</f>
        <v>1</v>
      </c>
      <c r="N24" s="102"/>
    </row>
    <row r="25" spans="1:14" x14ac:dyDescent="0.4">
      <c r="A25" s="99" t="s">
        <v>107</v>
      </c>
      <c r="B25" s="100">
        <f t="shared" si="0"/>
        <v>4</v>
      </c>
      <c r="C25" s="101" t="str">
        <f>VLOOKUP($A25,[3]PERTANYAAN!$A$18:$E$71,3,0)</f>
        <v>NPWP</v>
      </c>
      <c r="D25" s="46">
        <f>VLOOKUP($A25,[3]PERTANYAAN!$A$18:$E$71,5,0)</f>
        <v>0.01</v>
      </c>
      <c r="E25" s="17"/>
      <c r="F25" s="16" t="s">
        <v>16</v>
      </c>
      <c r="G25" s="16"/>
      <c r="H25" s="102"/>
      <c r="I25" s="102"/>
      <c r="J25" s="102"/>
      <c r="K25" s="102"/>
      <c r="L25" s="102"/>
      <c r="M25" s="16">
        <f>IF(F25="V",D25*100,0)</f>
        <v>1</v>
      </c>
      <c r="N25" s="102"/>
    </row>
    <row r="26" spans="1:14" x14ac:dyDescent="0.4">
      <c r="A26" s="92"/>
      <c r="B26" s="104"/>
      <c r="C26" s="103"/>
      <c r="D26" s="17"/>
      <c r="E26" s="17"/>
      <c r="F26" s="16"/>
      <c r="G26" s="16"/>
      <c r="H26" s="102"/>
      <c r="I26" s="102"/>
      <c r="J26" s="102"/>
      <c r="K26" s="102"/>
      <c r="L26" s="102"/>
      <c r="M26" s="16"/>
      <c r="N26" s="102"/>
    </row>
    <row r="27" spans="1:14" x14ac:dyDescent="0.4">
      <c r="A27" s="92"/>
      <c r="B27" s="48" t="s">
        <v>97</v>
      </c>
      <c r="C27" s="49" t="s">
        <v>21</v>
      </c>
      <c r="D27" s="51">
        <f>D28</f>
        <v>0.35000000000000003</v>
      </c>
      <c r="E27" s="57"/>
      <c r="F27" s="60"/>
      <c r="G27" s="60"/>
      <c r="H27" s="97"/>
      <c r="I27" s="97"/>
      <c r="J27" s="97"/>
      <c r="K27" s="97"/>
      <c r="L27" s="97"/>
      <c r="M27" s="54">
        <f>M28</f>
        <v>29</v>
      </c>
      <c r="N27" s="97"/>
    </row>
    <row r="28" spans="1:14" x14ac:dyDescent="0.4">
      <c r="A28" s="99" t="s">
        <v>108</v>
      </c>
      <c r="B28" s="100">
        <v>1</v>
      </c>
      <c r="C28" s="101" t="str">
        <f>VLOOKUP($A28,[3]PERTANYAAN!$A$18:$E$71,3,0)</f>
        <v>Operasi / Logistik</v>
      </c>
      <c r="D28" s="46">
        <f>VLOOKUP($A28,[3]PERTANYAAN!$A$18:$E$71,5,0)</f>
        <v>0.35000000000000003</v>
      </c>
      <c r="E28" s="17"/>
      <c r="F28" s="16"/>
      <c r="G28" s="16"/>
      <c r="H28" s="102"/>
      <c r="I28" s="102"/>
      <c r="J28" s="102"/>
      <c r="K28" s="102"/>
      <c r="L28" s="102"/>
      <c r="M28" s="16">
        <f>SUM(M29:M33)</f>
        <v>29</v>
      </c>
      <c r="N28" s="102"/>
    </row>
    <row r="29" spans="1:14" x14ac:dyDescent="0.4">
      <c r="A29" s="99" t="s">
        <v>109</v>
      </c>
      <c r="B29" s="100" t="s">
        <v>6</v>
      </c>
      <c r="C29" s="101" t="str">
        <f>VLOOKUP($A29,[3]PERTANYAAN!$A$18:$E$71,3,0)</f>
        <v>Skill Mengemudi</v>
      </c>
      <c r="D29" s="46">
        <f>VLOOKUP($A29,[3]PERTANYAAN!$A$18:$E$71,5,0)</f>
        <v>0.15</v>
      </c>
      <c r="E29" s="17"/>
      <c r="F29" s="16"/>
      <c r="G29" s="16"/>
      <c r="H29" s="102"/>
      <c r="I29" s="102"/>
      <c r="J29" s="102"/>
      <c r="K29" s="102"/>
      <c r="L29" s="102" t="s">
        <v>16</v>
      </c>
      <c r="M29" s="16">
        <f>IF(H29="V",$D29*H$15,IF(I29="V",$D29*I$15,IF(J29="V",$D29*J$15,IF(K29="V",$D29*K$15,IF(L29="V",$D29*L$15,0)))))*100</f>
        <v>15</v>
      </c>
      <c r="N29" s="102" t="s">
        <v>216</v>
      </c>
    </row>
    <row r="30" spans="1:14" x14ac:dyDescent="0.4">
      <c r="A30" s="99" t="s">
        <v>110</v>
      </c>
      <c r="B30" s="100" t="s">
        <v>6</v>
      </c>
      <c r="C30" s="101" t="str">
        <f>VLOOKUP($A30,[3]PERTANYAAN!$A$18:$E$71,3,0)</f>
        <v>Flow Administrasi Logistik</v>
      </c>
      <c r="D30" s="46">
        <f>VLOOKUP($A30,[3]PERTANYAAN!$A$18:$E$71,5,0)</f>
        <v>0.1</v>
      </c>
      <c r="E30" s="17"/>
      <c r="F30" s="16"/>
      <c r="G30" s="16"/>
      <c r="H30" s="102"/>
      <c r="I30" s="102"/>
      <c r="J30" s="102" t="s">
        <v>16</v>
      </c>
      <c r="K30" s="102"/>
      <c r="L30" s="102"/>
      <c r="M30" s="16">
        <f t="shared" ref="M30:M32" si="1">IF(H30="V",$D30*H$15,IF(I30="V",$D30*I$15,IF(J30="V",$D30*J$15,IF(K30="V",$D30*K$15,IF(L30="V",$D30*L$15,0)))))*100</f>
        <v>6</v>
      </c>
      <c r="N30" s="102" t="s">
        <v>217</v>
      </c>
    </row>
    <row r="31" spans="1:14" x14ac:dyDescent="0.4">
      <c r="A31" s="99" t="s">
        <v>111</v>
      </c>
      <c r="B31" s="100" t="s">
        <v>6</v>
      </c>
      <c r="C31" s="101" t="str">
        <f>VLOOKUP($A31,[3]PERTANYAAN!$A$18:$E$71,3,0)</f>
        <v>Pengetahuan terkait logistik</v>
      </c>
      <c r="D31" s="46">
        <f>VLOOKUP($A31,[3]PERTANYAAN!$A$18:$E$71,5,0)</f>
        <v>2.5000000000000001E-2</v>
      </c>
      <c r="E31" s="17"/>
      <c r="F31" s="16"/>
      <c r="G31" s="16"/>
      <c r="H31" s="102"/>
      <c r="I31" s="102"/>
      <c r="J31" s="102"/>
      <c r="K31" s="102" t="s">
        <v>16</v>
      </c>
      <c r="L31" s="102"/>
      <c r="M31" s="16">
        <f t="shared" si="1"/>
        <v>2.0000000000000004</v>
      </c>
      <c r="N31" s="102"/>
    </row>
    <row r="32" spans="1:14" x14ac:dyDescent="0.4">
      <c r="A32" s="99" t="s">
        <v>112</v>
      </c>
      <c r="B32" s="100" t="s">
        <v>6</v>
      </c>
      <c r="C32" s="101" t="str">
        <f>VLOOKUP($A32,[3]PERTANYAAN!$A$18:$E$71,3,0)</f>
        <v>Pengalaman di Bongkar Muat</v>
      </c>
      <c r="D32" s="46">
        <f>VLOOKUP($A32,[3]PERTANYAAN!$A$18:$E$71,5,0)</f>
        <v>7.4999999999999997E-2</v>
      </c>
      <c r="E32" s="17"/>
      <c r="F32" s="16"/>
      <c r="G32" s="16"/>
      <c r="H32" s="102"/>
      <c r="I32" s="102"/>
      <c r="J32" s="102"/>
      <c r="K32" s="102" t="s">
        <v>16</v>
      </c>
      <c r="L32" s="102"/>
      <c r="M32" s="16">
        <f t="shared" si="1"/>
        <v>6</v>
      </c>
      <c r="N32" s="102"/>
    </row>
    <row r="33" spans="1:14" x14ac:dyDescent="0.4">
      <c r="A33" s="92"/>
      <c r="B33" s="100"/>
      <c r="C33" s="103"/>
      <c r="D33" s="17"/>
      <c r="E33" s="17"/>
      <c r="F33" s="16"/>
      <c r="G33" s="16"/>
      <c r="H33" s="102"/>
      <c r="I33" s="102"/>
      <c r="J33" s="102"/>
      <c r="K33" s="102"/>
      <c r="L33" s="102"/>
      <c r="M33" s="16"/>
      <c r="N33" s="102"/>
    </row>
    <row r="34" spans="1:14" hidden="1" outlineLevel="1" x14ac:dyDescent="0.4">
      <c r="A34" s="92"/>
      <c r="B34" s="100">
        <f>B28+1</f>
        <v>2</v>
      </c>
      <c r="C34" s="103" t="s">
        <v>22</v>
      </c>
      <c r="D34" s="17">
        <f>SUM(D35:D37)</f>
        <v>0.35</v>
      </c>
      <c r="E34" s="17"/>
      <c r="F34" s="16"/>
      <c r="G34" s="16"/>
      <c r="H34" s="102"/>
      <c r="I34" s="102"/>
      <c r="J34" s="102"/>
      <c r="K34" s="102"/>
      <c r="L34" s="102"/>
      <c r="M34" s="16"/>
      <c r="N34" s="102"/>
    </row>
    <row r="35" spans="1:14" hidden="1" outlineLevel="1" x14ac:dyDescent="0.4">
      <c r="A35" s="92"/>
      <c r="B35" s="100" t="s">
        <v>6</v>
      </c>
      <c r="C35" s="103" t="s">
        <v>44</v>
      </c>
      <c r="D35" s="17">
        <v>0.15</v>
      </c>
      <c r="E35" s="17"/>
      <c r="F35" s="16"/>
      <c r="G35" s="16"/>
      <c r="H35" s="102"/>
      <c r="I35" s="102"/>
      <c r="J35" s="102"/>
      <c r="K35" s="102"/>
      <c r="L35" s="102"/>
      <c r="M35" s="16"/>
      <c r="N35" s="102"/>
    </row>
    <row r="36" spans="1:14" hidden="1" outlineLevel="1" x14ac:dyDescent="0.4">
      <c r="A36" s="92"/>
      <c r="B36" s="100" t="s">
        <v>6</v>
      </c>
      <c r="C36" s="103" t="s">
        <v>50</v>
      </c>
      <c r="D36" s="17">
        <v>0.2</v>
      </c>
      <c r="E36" s="17"/>
      <c r="F36" s="16"/>
      <c r="G36" s="16"/>
      <c r="H36" s="102"/>
      <c r="I36" s="102"/>
      <c r="J36" s="102"/>
      <c r="K36" s="102"/>
      <c r="L36" s="102"/>
      <c r="M36" s="16"/>
      <c r="N36" s="102"/>
    </row>
    <row r="37" spans="1:14" hidden="1" outlineLevel="1" x14ac:dyDescent="0.4">
      <c r="A37" s="92"/>
      <c r="B37" s="100"/>
      <c r="C37" s="103"/>
      <c r="D37" s="17"/>
      <c r="E37" s="17"/>
      <c r="F37" s="16"/>
      <c r="G37" s="16"/>
      <c r="H37" s="102"/>
      <c r="I37" s="102"/>
      <c r="J37" s="102"/>
      <c r="K37" s="102"/>
      <c r="L37" s="102"/>
      <c r="M37" s="16"/>
      <c r="N37" s="102"/>
    </row>
    <row r="38" spans="1:14" hidden="1" outlineLevel="1" x14ac:dyDescent="0.4">
      <c r="A38" s="92"/>
      <c r="B38" s="104">
        <v>3</v>
      </c>
      <c r="C38" s="103" t="s">
        <v>23</v>
      </c>
      <c r="D38" s="17"/>
      <c r="E38" s="17"/>
      <c r="F38" s="16"/>
      <c r="G38" s="16"/>
      <c r="H38" s="102"/>
      <c r="I38" s="102"/>
      <c r="J38" s="102"/>
      <c r="K38" s="102"/>
      <c r="L38" s="102"/>
      <c r="M38" s="16"/>
      <c r="N38" s="102"/>
    </row>
    <row r="39" spans="1:14" hidden="1" outlineLevel="1" x14ac:dyDescent="0.4">
      <c r="A39" s="92"/>
      <c r="B39" s="100" t="s">
        <v>6</v>
      </c>
      <c r="C39" s="103" t="s">
        <v>52</v>
      </c>
      <c r="D39" s="17"/>
      <c r="E39" s="17"/>
      <c r="F39" s="16"/>
      <c r="G39" s="16"/>
      <c r="H39" s="102"/>
      <c r="I39" s="102"/>
      <c r="J39" s="102"/>
      <c r="K39" s="102"/>
      <c r="L39" s="102"/>
      <c r="M39" s="16"/>
      <c r="N39" s="102"/>
    </row>
    <row r="40" spans="1:14" hidden="1" outlineLevel="1" x14ac:dyDescent="0.4">
      <c r="A40" s="92"/>
      <c r="B40" s="100" t="s">
        <v>6</v>
      </c>
      <c r="C40" s="103" t="s">
        <v>53</v>
      </c>
      <c r="D40" s="17"/>
      <c r="E40" s="17"/>
      <c r="F40" s="16"/>
      <c r="G40" s="16"/>
      <c r="H40" s="102"/>
      <c r="I40" s="102"/>
      <c r="J40" s="102"/>
      <c r="K40" s="102"/>
      <c r="L40" s="102"/>
      <c r="M40" s="16"/>
      <c r="N40" s="102"/>
    </row>
    <row r="41" spans="1:14" hidden="1" outlineLevel="1" x14ac:dyDescent="0.4">
      <c r="A41" s="92"/>
      <c r="B41" s="100" t="s">
        <v>6</v>
      </c>
      <c r="C41" s="103"/>
      <c r="D41" s="17"/>
      <c r="E41" s="17"/>
      <c r="F41" s="16"/>
      <c r="G41" s="16"/>
      <c r="H41" s="102"/>
      <c r="I41" s="102"/>
      <c r="J41" s="102"/>
      <c r="K41" s="102"/>
      <c r="L41" s="102"/>
      <c r="M41" s="16"/>
      <c r="N41" s="102"/>
    </row>
    <row r="42" spans="1:14" hidden="1" outlineLevel="1" x14ac:dyDescent="0.4">
      <c r="A42" s="92"/>
      <c r="B42" s="104"/>
      <c r="C42" s="103"/>
      <c r="D42" s="17"/>
      <c r="E42" s="17"/>
      <c r="F42" s="16"/>
      <c r="G42" s="16"/>
      <c r="H42" s="102"/>
      <c r="I42" s="102"/>
      <c r="J42" s="102"/>
      <c r="K42" s="102"/>
      <c r="L42" s="102"/>
      <c r="M42" s="16"/>
      <c r="N42" s="102"/>
    </row>
    <row r="43" spans="1:14" s="2" customFormat="1" collapsed="1" x14ac:dyDescent="0.4">
      <c r="A43" s="3"/>
      <c r="B43" s="48" t="s">
        <v>98</v>
      </c>
      <c r="C43" s="49" t="s">
        <v>24</v>
      </c>
      <c r="D43" s="51">
        <f>D44</f>
        <v>0.25</v>
      </c>
      <c r="E43" s="51"/>
      <c r="F43" s="54"/>
      <c r="G43" s="54"/>
      <c r="H43" s="59"/>
      <c r="I43" s="59"/>
      <c r="J43" s="59"/>
      <c r="K43" s="59"/>
      <c r="L43" s="59"/>
      <c r="M43" s="54">
        <f>M44</f>
        <v>16</v>
      </c>
      <c r="N43" s="59"/>
    </row>
    <row r="44" spans="1:14" x14ac:dyDescent="0.4">
      <c r="A44" s="92" t="s">
        <v>113</v>
      </c>
      <c r="B44" s="104">
        <v>1</v>
      </c>
      <c r="C44" s="101" t="str">
        <f>VLOOKUP($A44,[3]PERTANYAAN!$A$18:$E$71,3,0)</f>
        <v>Staff</v>
      </c>
      <c r="D44" s="46">
        <f>VLOOKUP($A44,[3]PERTANYAAN!$A$18:$E$71,5,0)</f>
        <v>0.25</v>
      </c>
      <c r="E44" s="17"/>
      <c r="F44" s="16"/>
      <c r="G44" s="16"/>
      <c r="H44" s="102"/>
      <c r="I44" s="102"/>
      <c r="J44" s="102"/>
      <c r="K44" s="102"/>
      <c r="L44" s="102"/>
      <c r="M44" s="16">
        <f>SUM(M45:M48)</f>
        <v>16</v>
      </c>
      <c r="N44" s="102"/>
    </row>
    <row r="45" spans="1:14" x14ac:dyDescent="0.4">
      <c r="A45" s="99" t="s">
        <v>114</v>
      </c>
      <c r="B45" s="100" t="s">
        <v>6</v>
      </c>
      <c r="C45" s="101" t="str">
        <f>VLOOKUP($A45,[3]PERTANYAAN!$A$18:$E$71,3,0)</f>
        <v>Kepemimpinan</v>
      </c>
      <c r="D45" s="46">
        <f>VLOOKUP($A45,[3]PERTANYAAN!$A$18:$E$71,5,0)</f>
        <v>2.5000000000000001E-2</v>
      </c>
      <c r="E45" s="17"/>
      <c r="F45" s="16"/>
      <c r="G45" s="16"/>
      <c r="H45" s="102"/>
      <c r="I45" s="102" t="s">
        <v>16</v>
      </c>
      <c r="J45" s="102"/>
      <c r="K45" s="102"/>
      <c r="L45" s="102"/>
      <c r="M45" s="16">
        <f>IF(H45="V",$D45*H$15,IF(I45="V",$D45*I$15,IF(J45="V",$D45*J$15,IF(K45="V",$D45*K$15,IF(L45="V",$D45*L$15,0)))))*100</f>
        <v>1.0000000000000002</v>
      </c>
      <c r="N45" s="102" t="s">
        <v>218</v>
      </c>
    </row>
    <row r="46" spans="1:14" x14ac:dyDescent="0.4">
      <c r="A46" s="99" t="s">
        <v>115</v>
      </c>
      <c r="B46" s="100" t="s">
        <v>6</v>
      </c>
      <c r="C46" s="101" t="str">
        <f>VLOOKUP($A46,[3]PERTANYAAN!$A$18:$E$71,3,0)</f>
        <v>Komunikasi</v>
      </c>
      <c r="D46" s="46">
        <f>VLOOKUP($A46,[3]PERTANYAAN!$A$18:$E$71,5,0)</f>
        <v>0.1</v>
      </c>
      <c r="E46" s="17"/>
      <c r="F46" s="16"/>
      <c r="G46" s="16"/>
      <c r="H46" s="102"/>
      <c r="I46" s="102"/>
      <c r="J46" s="102" t="s">
        <v>16</v>
      </c>
      <c r="K46" s="102"/>
      <c r="L46" s="102"/>
      <c r="M46" s="16">
        <f>IF(H46="V",$D46*H$15,IF(I46="V",$D46*I$15,IF(J46="V",$D46*J$15,IF(K46="V",$D46*K$15,IF(L46="V",$D46*L$15,0)))))*100</f>
        <v>6</v>
      </c>
      <c r="N46" s="102" t="s">
        <v>219</v>
      </c>
    </row>
    <row r="47" spans="1:14" x14ac:dyDescent="0.4">
      <c r="A47" s="99" t="s">
        <v>116</v>
      </c>
      <c r="B47" s="100" t="s">
        <v>6</v>
      </c>
      <c r="C47" s="101" t="str">
        <f>VLOOKUP($A47,[3]PERTANYAAN!$A$18:$E$71,3,0)</f>
        <v>Patuh pada Peraturan / Commitment</v>
      </c>
      <c r="D47" s="46">
        <f>VLOOKUP($A47,[3]PERTANYAAN!$A$18:$E$71,5,0)</f>
        <v>0.05</v>
      </c>
      <c r="E47" s="17"/>
      <c r="F47" s="16"/>
      <c r="G47" s="16"/>
      <c r="H47" s="102"/>
      <c r="I47" s="102"/>
      <c r="J47" s="102" t="s">
        <v>16</v>
      </c>
      <c r="K47" s="102"/>
      <c r="L47" s="102"/>
      <c r="M47" s="16">
        <f>IF(H47="V",$D47*H$15,IF(I47="V",$D47*I$15,IF(J47="V",$D47*J$15,IF(K47="V",$D47*K$15,IF(L47="V",$D47*L$15,0)))))*100</f>
        <v>3</v>
      </c>
      <c r="N47" s="102" t="s">
        <v>220</v>
      </c>
    </row>
    <row r="48" spans="1:14" x14ac:dyDescent="0.4">
      <c r="A48" s="99" t="s">
        <v>117</v>
      </c>
      <c r="B48" s="100" t="s">
        <v>6</v>
      </c>
      <c r="C48" s="101" t="str">
        <f>VLOOKUP($A48,[3]PERTANYAAN!$A$18:$E$71,3,0)</f>
        <v>Determinasi thd tekanan</v>
      </c>
      <c r="D48" s="46">
        <f>VLOOKUP($A48,[3]PERTANYAAN!$A$18:$E$71,5,0)</f>
        <v>7.4999999999999997E-2</v>
      </c>
      <c r="E48" s="17"/>
      <c r="F48" s="16"/>
      <c r="G48" s="16"/>
      <c r="H48" s="102"/>
      <c r="I48" s="102"/>
      <c r="J48" s="102"/>
      <c r="K48" s="102" t="s">
        <v>16</v>
      </c>
      <c r="L48" s="102"/>
      <c r="M48" s="16">
        <f>IF(H48="V",$D48*H$15,IF(I48="V",$D48*I$15,IF(J48="V",$D48*J$15,IF(K48="V",$D48*K$15,IF(L48="V",$D48*L$15,0)))))*100</f>
        <v>6</v>
      </c>
      <c r="N48" s="102" t="s">
        <v>221</v>
      </c>
    </row>
    <row r="49" spans="1:14" x14ac:dyDescent="0.4">
      <c r="A49" s="92"/>
      <c r="B49" s="100"/>
      <c r="C49" s="103"/>
      <c r="D49" s="17"/>
      <c r="E49" s="17"/>
      <c r="F49" s="16"/>
      <c r="G49" s="16"/>
      <c r="H49" s="102"/>
      <c r="I49" s="102"/>
      <c r="J49" s="102"/>
      <c r="K49" s="102"/>
      <c r="L49" s="102"/>
      <c r="M49" s="16"/>
      <c r="N49" s="102"/>
    </row>
    <row r="50" spans="1:14" hidden="1" outlineLevel="1" x14ac:dyDescent="0.4">
      <c r="A50" s="92"/>
      <c r="B50" s="104">
        <v>2</v>
      </c>
      <c r="C50" s="103" t="s">
        <v>26</v>
      </c>
      <c r="D50" s="17"/>
      <c r="E50" s="17"/>
      <c r="F50" s="16"/>
      <c r="G50" s="16"/>
      <c r="H50" s="102"/>
      <c r="I50" s="102"/>
      <c r="J50" s="102"/>
      <c r="K50" s="102"/>
      <c r="L50" s="102"/>
      <c r="M50" s="16"/>
      <c r="N50" s="102"/>
    </row>
    <row r="51" spans="1:14" hidden="1" outlineLevel="1" x14ac:dyDescent="0.4">
      <c r="A51" s="92"/>
      <c r="B51" s="100" t="s">
        <v>6</v>
      </c>
      <c r="C51" s="103" t="s">
        <v>54</v>
      </c>
      <c r="D51" s="17"/>
      <c r="E51" s="17"/>
      <c r="F51" s="16"/>
      <c r="G51" s="16"/>
      <c r="H51" s="102"/>
      <c r="I51" s="102"/>
      <c r="J51" s="102"/>
      <c r="K51" s="102"/>
      <c r="L51" s="102"/>
      <c r="M51" s="16"/>
      <c r="N51" s="102"/>
    </row>
    <row r="52" spans="1:14" hidden="1" outlineLevel="1" x14ac:dyDescent="0.4">
      <c r="A52" s="92"/>
      <c r="B52" s="100" t="s">
        <v>6</v>
      </c>
      <c r="C52" s="103" t="s">
        <v>55</v>
      </c>
      <c r="D52" s="17"/>
      <c r="E52" s="17"/>
      <c r="F52" s="16"/>
      <c r="G52" s="16"/>
      <c r="H52" s="102"/>
      <c r="I52" s="102"/>
      <c r="J52" s="102"/>
      <c r="K52" s="102"/>
      <c r="L52" s="102"/>
      <c r="M52" s="16"/>
      <c r="N52" s="102"/>
    </row>
    <row r="53" spans="1:14" hidden="1" outlineLevel="1" x14ac:dyDescent="0.4">
      <c r="A53" s="92"/>
      <c r="B53" s="100" t="s">
        <v>6</v>
      </c>
      <c r="C53" s="103" t="s">
        <v>56</v>
      </c>
      <c r="D53" s="17"/>
      <c r="E53" s="17"/>
      <c r="F53" s="16"/>
      <c r="G53" s="16"/>
      <c r="H53" s="102"/>
      <c r="I53" s="102"/>
      <c r="J53" s="102"/>
      <c r="K53" s="102"/>
      <c r="L53" s="102"/>
      <c r="M53" s="16"/>
      <c r="N53" s="102"/>
    </row>
    <row r="54" spans="1:14" hidden="1" outlineLevel="1" x14ac:dyDescent="0.4">
      <c r="A54" s="92"/>
      <c r="B54" s="100"/>
      <c r="C54" s="103"/>
      <c r="D54" s="17"/>
      <c r="E54" s="17"/>
      <c r="F54" s="16"/>
      <c r="G54" s="16"/>
      <c r="H54" s="102"/>
      <c r="I54" s="102"/>
      <c r="J54" s="102"/>
      <c r="K54" s="102"/>
      <c r="L54" s="102"/>
      <c r="M54" s="16"/>
      <c r="N54" s="102"/>
    </row>
    <row r="55" spans="1:14" hidden="1" outlineLevel="1" x14ac:dyDescent="0.4">
      <c r="A55" s="92"/>
      <c r="B55" s="104">
        <v>3</v>
      </c>
      <c r="C55" s="103" t="s">
        <v>27</v>
      </c>
      <c r="D55" s="17"/>
      <c r="E55" s="17"/>
      <c r="F55" s="16"/>
      <c r="G55" s="16"/>
      <c r="H55" s="102"/>
      <c r="I55" s="102"/>
      <c r="J55" s="102"/>
      <c r="K55" s="102"/>
      <c r="L55" s="102"/>
      <c r="M55" s="16"/>
      <c r="N55" s="102"/>
    </row>
    <row r="56" spans="1:14" hidden="1" outlineLevel="1" x14ac:dyDescent="0.4">
      <c r="A56" s="92"/>
      <c r="B56" s="100" t="s">
        <v>6</v>
      </c>
      <c r="C56" s="103" t="s">
        <v>54</v>
      </c>
      <c r="D56" s="17"/>
      <c r="E56" s="17"/>
      <c r="F56" s="16"/>
      <c r="G56" s="16"/>
      <c r="H56" s="102"/>
      <c r="I56" s="102"/>
      <c r="J56" s="102"/>
      <c r="K56" s="102"/>
      <c r="L56" s="102"/>
      <c r="M56" s="16"/>
      <c r="N56" s="102"/>
    </row>
    <row r="57" spans="1:14" hidden="1" outlineLevel="1" x14ac:dyDescent="0.4">
      <c r="A57" s="92"/>
      <c r="B57" s="100" t="s">
        <v>6</v>
      </c>
      <c r="C57" s="103" t="s">
        <v>56</v>
      </c>
      <c r="D57" s="17"/>
      <c r="E57" s="17"/>
      <c r="F57" s="16"/>
      <c r="G57" s="16"/>
      <c r="H57" s="102"/>
      <c r="I57" s="102"/>
      <c r="J57" s="102"/>
      <c r="K57" s="102"/>
      <c r="L57" s="102"/>
      <c r="M57" s="16"/>
      <c r="N57" s="102"/>
    </row>
    <row r="58" spans="1:14" hidden="1" outlineLevel="1" x14ac:dyDescent="0.4">
      <c r="A58" s="92"/>
      <c r="B58" s="100" t="s">
        <v>6</v>
      </c>
      <c r="C58" s="103" t="s">
        <v>57</v>
      </c>
      <c r="D58" s="17"/>
      <c r="E58" s="17"/>
      <c r="F58" s="16"/>
      <c r="G58" s="16"/>
      <c r="H58" s="102"/>
      <c r="I58" s="102"/>
      <c r="J58" s="102"/>
      <c r="K58" s="102"/>
      <c r="L58" s="102"/>
      <c r="M58" s="16"/>
      <c r="N58" s="102"/>
    </row>
    <row r="59" spans="1:14" hidden="1" outlineLevel="1" x14ac:dyDescent="0.4">
      <c r="A59" s="92"/>
      <c r="B59" s="104"/>
      <c r="C59" s="103"/>
      <c r="D59" s="17"/>
      <c r="E59" s="17"/>
      <c r="F59" s="16"/>
      <c r="G59" s="16"/>
      <c r="H59" s="102"/>
      <c r="I59" s="102"/>
      <c r="J59" s="102"/>
      <c r="K59" s="102"/>
      <c r="L59" s="102"/>
      <c r="M59" s="16"/>
      <c r="N59" s="102"/>
    </row>
    <row r="60" spans="1:14" s="2" customFormat="1" collapsed="1" x14ac:dyDescent="0.4">
      <c r="A60" s="3"/>
      <c r="B60" s="48" t="s">
        <v>99</v>
      </c>
      <c r="C60" s="49" t="s">
        <v>46</v>
      </c>
      <c r="D60" s="51">
        <f>SUM(D61:D64)</f>
        <v>0.15</v>
      </c>
      <c r="E60" s="51"/>
      <c r="F60" s="54"/>
      <c r="G60" s="54"/>
      <c r="H60" s="59"/>
      <c r="I60" s="59"/>
      <c r="J60" s="59"/>
      <c r="K60" s="59"/>
      <c r="L60" s="59"/>
      <c r="M60" s="54">
        <f>SUM(M61:M64)</f>
        <v>6.5</v>
      </c>
      <c r="N60" s="59"/>
    </row>
    <row r="61" spans="1:14" x14ac:dyDescent="0.4">
      <c r="A61" s="99" t="s">
        <v>118</v>
      </c>
      <c r="B61" s="100" t="s">
        <v>6</v>
      </c>
      <c r="C61" s="101" t="str">
        <f>VLOOKUP($A61,[3]PERTANYAAN!$A$18:$E$71,3,0)</f>
        <v>Antusiasme / Keinginan bergabung</v>
      </c>
      <c r="D61" s="46">
        <f>VLOOKUP($A61,[3]PERTANYAAN!$A$18:$E$71,5,0)</f>
        <v>7.4999999999999997E-2</v>
      </c>
      <c r="E61" s="17"/>
      <c r="F61" s="16"/>
      <c r="G61" s="16"/>
      <c r="H61" s="102"/>
      <c r="I61" s="102" t="s">
        <v>16</v>
      </c>
      <c r="J61" s="102"/>
      <c r="K61" s="102"/>
      <c r="L61" s="102"/>
      <c r="M61" s="16">
        <f t="shared" ref="M61:M63" si="2">IF(H61="V",$D61*H$15,IF(I61="V",$D61*I$15,IF(J61="V",$D61*J$15,IF(K61="V",$D61*K$15,IF(L61="V",$D61*L$15,0)))))*100</f>
        <v>3</v>
      </c>
      <c r="N61" s="102"/>
    </row>
    <row r="62" spans="1:14" x14ac:dyDescent="0.4">
      <c r="A62" s="99" t="s">
        <v>119</v>
      </c>
      <c r="B62" s="100" t="s">
        <v>6</v>
      </c>
      <c r="C62" s="101" t="str">
        <f>VLOOKUP($A62,[3]PERTANYAAN!$A$18:$E$71,3,0)</f>
        <v>Inisiatif</v>
      </c>
      <c r="D62" s="46">
        <f>VLOOKUP($A62,[3]PERTANYAAN!$A$18:$E$71,5,0)</f>
        <v>0.05</v>
      </c>
      <c r="E62" s="17"/>
      <c r="F62" s="16"/>
      <c r="G62" s="16"/>
      <c r="H62" s="102"/>
      <c r="I62" s="102" t="s">
        <v>16</v>
      </c>
      <c r="J62" s="102"/>
      <c r="K62" s="102"/>
      <c r="L62" s="102"/>
      <c r="M62" s="16">
        <f t="shared" si="2"/>
        <v>2.0000000000000004</v>
      </c>
      <c r="N62" s="102"/>
    </row>
    <row r="63" spans="1:14" x14ac:dyDescent="0.4">
      <c r="A63" s="99" t="s">
        <v>120</v>
      </c>
      <c r="B63" s="100" t="s">
        <v>6</v>
      </c>
      <c r="C63" s="101" t="str">
        <f>VLOOKUP($A63,[3]PERTANYAAN!$A$18:$E$71,3,0)</f>
        <v>Adaptif</v>
      </c>
      <c r="D63" s="46">
        <f>VLOOKUP($A63,[3]PERTANYAAN!$A$18:$E$71,5,0)</f>
        <v>2.5000000000000001E-2</v>
      </c>
      <c r="E63" s="17"/>
      <c r="F63" s="16"/>
      <c r="G63" s="16"/>
      <c r="H63" s="102"/>
      <c r="I63" s="102"/>
      <c r="J63" s="102" t="s">
        <v>16</v>
      </c>
      <c r="K63" s="102"/>
      <c r="L63" s="102"/>
      <c r="M63" s="16">
        <f t="shared" si="2"/>
        <v>1.5</v>
      </c>
      <c r="N63" s="102"/>
    </row>
    <row r="64" spans="1:14" x14ac:dyDescent="0.4">
      <c r="A64" s="92"/>
      <c r="B64" s="104"/>
      <c r="C64" s="103"/>
      <c r="D64" s="17"/>
      <c r="E64" s="17"/>
      <c r="F64" s="16"/>
      <c r="G64" s="16"/>
      <c r="H64" s="102"/>
      <c r="I64" s="102"/>
      <c r="J64" s="102"/>
      <c r="K64" s="102"/>
      <c r="L64" s="102"/>
      <c r="M64" s="16"/>
      <c r="N64" s="102"/>
    </row>
    <row r="65" spans="1:14" s="2" customFormat="1" x14ac:dyDescent="0.4">
      <c r="A65" s="3"/>
      <c r="B65" s="48" t="s">
        <v>100</v>
      </c>
      <c r="C65" s="49" t="s">
        <v>48</v>
      </c>
      <c r="D65" s="51">
        <f>SUM(D66:D68)</f>
        <v>0.05</v>
      </c>
      <c r="E65" s="51"/>
      <c r="F65" s="54"/>
      <c r="G65" s="54"/>
      <c r="H65" s="59"/>
      <c r="I65" s="59"/>
      <c r="J65" s="59"/>
      <c r="K65" s="59"/>
      <c r="L65" s="59"/>
      <c r="M65" s="54">
        <f>SUM(M66:M68)</f>
        <v>3.8000000000000003</v>
      </c>
      <c r="N65" s="59"/>
    </row>
    <row r="66" spans="1:14" x14ac:dyDescent="0.4">
      <c r="A66" s="99" t="s">
        <v>121</v>
      </c>
      <c r="B66" s="100" t="s">
        <v>6</v>
      </c>
      <c r="C66" s="101" t="str">
        <f>VLOOKUP($A66,[3]PERTANYAAN!$A$18:$E$71,3,0)</f>
        <v>Ekspektasi Salary (Mengukur Budget &amp; Skill)</v>
      </c>
      <c r="D66" s="46">
        <f>VLOOKUP($A66,[3]PERTANYAAN!$A$18:$E$71,5,0)</f>
        <v>0.04</v>
      </c>
      <c r="E66" s="17"/>
      <c r="F66" s="16"/>
      <c r="G66" s="16"/>
      <c r="H66" s="102"/>
      <c r="I66" s="102"/>
      <c r="J66" s="102"/>
      <c r="K66" s="102" t="s">
        <v>16</v>
      </c>
      <c r="L66" s="102"/>
      <c r="M66" s="16">
        <f t="shared" ref="M66:M67" si="3">IF(H66="V",$D66*H$15,IF(I66="V",$D66*I$15,IF(J66="V",$D66*J$15,IF(K66="V",$D66*K$15,IF(L66="V",$D66*L$15,0)))))*100</f>
        <v>3.2</v>
      </c>
      <c r="N66" s="102" t="s">
        <v>166</v>
      </c>
    </row>
    <row r="67" spans="1:14" x14ac:dyDescent="0.4">
      <c r="A67" s="99" t="s">
        <v>122</v>
      </c>
      <c r="B67" s="100" t="s">
        <v>6</v>
      </c>
      <c r="C67" s="101" t="str">
        <f>VLOOKUP($A67,[3]PERTANYAAN!$A$18:$E$71,3,0)</f>
        <v>Tujuan Karir</v>
      </c>
      <c r="D67" s="46">
        <f>VLOOKUP($A67,[3]PERTANYAAN!$A$18:$E$71,5,0)</f>
        <v>0.01</v>
      </c>
      <c r="E67" s="17"/>
      <c r="F67" s="16"/>
      <c r="G67" s="16"/>
      <c r="H67" s="102"/>
      <c r="I67" s="102"/>
      <c r="J67" s="102" t="s">
        <v>16</v>
      </c>
      <c r="K67" s="102"/>
      <c r="L67" s="102"/>
      <c r="M67" s="16">
        <f t="shared" si="3"/>
        <v>0.6</v>
      </c>
      <c r="N67" s="102"/>
    </row>
    <row r="68" spans="1:14" x14ac:dyDescent="0.4">
      <c r="A68" s="99"/>
      <c r="B68" s="104"/>
      <c r="C68" s="103"/>
      <c r="D68" s="17"/>
      <c r="E68" s="17"/>
      <c r="F68" s="16"/>
      <c r="G68" s="16"/>
      <c r="H68" s="102"/>
      <c r="I68" s="102"/>
      <c r="J68" s="102"/>
      <c r="K68" s="102"/>
      <c r="L68" s="102"/>
      <c r="M68" s="16"/>
      <c r="N68" s="102"/>
    </row>
    <row r="69" spans="1:14" s="2" customFormat="1" x14ac:dyDescent="0.4">
      <c r="A69" s="3"/>
      <c r="B69" s="48" t="s">
        <v>101</v>
      </c>
      <c r="C69" s="49" t="s">
        <v>134</v>
      </c>
      <c r="D69" s="51">
        <f>SUM(D70:D70)</f>
        <v>0.05</v>
      </c>
      <c r="E69" s="51"/>
      <c r="F69" s="54"/>
      <c r="G69" s="54"/>
      <c r="H69" s="59"/>
      <c r="I69" s="59"/>
      <c r="J69" s="59"/>
      <c r="K69" s="59"/>
      <c r="L69" s="59"/>
      <c r="M69" s="54">
        <f>SUM(M70)</f>
        <v>0</v>
      </c>
      <c r="N69" s="59"/>
    </row>
    <row r="70" spans="1:14" x14ac:dyDescent="0.4">
      <c r="A70" s="99" t="s">
        <v>123</v>
      </c>
      <c r="B70" s="100" t="s">
        <v>6</v>
      </c>
      <c r="C70" s="101" t="str">
        <f>VLOOKUP($A70,[3]PERTANYAAN!$A$18:$E$71,3,0)</f>
        <v>Pertanyaan Spesifik User</v>
      </c>
      <c r="D70" s="46">
        <f>VLOOKUP($A70,[3]PERTANYAAN!$A$18:$E$71,5,0)</f>
        <v>0.05</v>
      </c>
      <c r="E70" s="17"/>
      <c r="F70" s="16"/>
      <c r="G70" s="16"/>
      <c r="H70" s="102"/>
      <c r="I70" s="102"/>
      <c r="J70" s="102"/>
      <c r="K70" s="102"/>
      <c r="L70" s="102"/>
      <c r="M70" s="16">
        <f t="shared" ref="M70" si="4">IF(H70="V",$D70*H$15,IF(I70="V",$D70*I$15,IF(J70="V",$D70*J$15,IF(K70="V",$D70*K$15,IF(L70="V",$D70*L$15,0)))))*100</f>
        <v>0</v>
      </c>
      <c r="N70" s="102"/>
    </row>
    <row r="71" spans="1:14" x14ac:dyDescent="0.4">
      <c r="B71" s="105"/>
      <c r="C71" s="106"/>
      <c r="D71" s="22"/>
      <c r="E71" s="22"/>
      <c r="F71" s="21"/>
      <c r="G71" s="21"/>
      <c r="H71" s="107"/>
      <c r="I71" s="107"/>
      <c r="J71" s="107"/>
      <c r="K71" s="107"/>
      <c r="L71" s="107"/>
      <c r="M71" s="21"/>
      <c r="N71" s="107"/>
    </row>
    <row r="73" spans="1:14" x14ac:dyDescent="0.4">
      <c r="A73" s="94" t="s">
        <v>186</v>
      </c>
      <c r="C73" s="108" t="s">
        <v>187</v>
      </c>
      <c r="N73" s="108" t="s">
        <v>222</v>
      </c>
    </row>
    <row r="74" spans="1:14" x14ac:dyDescent="0.4">
      <c r="C74" s="108"/>
      <c r="N74" s="108"/>
    </row>
    <row r="76" spans="1:14" x14ac:dyDescent="0.4">
      <c r="A76" s="94" t="s">
        <v>189</v>
      </c>
      <c r="C76" s="108" t="s">
        <v>190</v>
      </c>
      <c r="N76" s="108" t="s">
        <v>223</v>
      </c>
    </row>
    <row r="77" spans="1:14" x14ac:dyDescent="0.4">
      <c r="C77" s="108"/>
      <c r="N77" s="108"/>
    </row>
  </sheetData>
  <mergeCells count="12">
    <mergeCell ref="M13:M14"/>
    <mergeCell ref="N13:N14"/>
    <mergeCell ref="C73:C74"/>
    <mergeCell ref="N73:N74"/>
    <mergeCell ref="C76:C77"/>
    <mergeCell ref="N76:N77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668CF-A1B5-45AE-B543-41E406B5CFBF}">
  <sheetPr>
    <tabColor theme="8" tint="0.39997558519241921"/>
  </sheetPr>
  <dimension ref="A1:N77"/>
  <sheetViews>
    <sheetView zoomScaleNormal="100" workbookViewId="0">
      <pane xSplit="1" ySplit="14" topLeftCell="B15" activePane="bottomRight" state="frozen"/>
      <selection activeCell="C13" sqref="C13:C14"/>
      <selection pane="topRight" activeCell="C13" sqref="C13:C14"/>
      <selection pane="bottomLeft" activeCell="C13" sqref="C13:C14"/>
      <selection pane="bottomRight" activeCell="C13" sqref="C13:C14"/>
    </sheetView>
  </sheetViews>
  <sheetFormatPr defaultRowHeight="14.6" outlineLevelRow="1" x14ac:dyDescent="0.4"/>
  <cols>
    <col min="1" max="1" width="17.69140625" style="93" customWidth="1"/>
    <col min="2" max="2" width="4.3046875" style="92" bestFit="1" customWidth="1"/>
    <col min="3" max="3" width="40.07421875" style="93" bestFit="1" customWidth="1"/>
    <col min="4" max="4" width="9.23046875" style="5"/>
    <col min="5" max="5" width="1.69140625" style="5" customWidth="1"/>
    <col min="6" max="7" width="9.23046875" style="4"/>
    <col min="8" max="12" width="9.23046875" style="94"/>
    <col min="13" max="13" width="9.23046875" style="4"/>
    <col min="14" max="14" width="58.23046875" style="94" bestFit="1" customWidth="1"/>
    <col min="15" max="16384" width="9.23046875" style="93"/>
  </cols>
  <sheetData>
    <row r="1" spans="1:14" x14ac:dyDescent="0.4">
      <c r="A1" s="2" t="s">
        <v>125</v>
      </c>
    </row>
    <row r="2" spans="1:14" x14ac:dyDescent="0.4">
      <c r="A2" s="2" t="s">
        <v>0</v>
      </c>
    </row>
    <row r="5" spans="1:14" x14ac:dyDescent="0.4">
      <c r="A5" s="2" t="s">
        <v>1</v>
      </c>
      <c r="B5" s="92" t="s">
        <v>29</v>
      </c>
      <c r="C5" s="2" t="s">
        <v>148</v>
      </c>
    </row>
    <row r="6" spans="1:14" x14ac:dyDescent="0.4">
      <c r="A6" s="2" t="s">
        <v>20</v>
      </c>
      <c r="B6" s="92" t="s">
        <v>29</v>
      </c>
      <c r="C6" s="93" t="s">
        <v>31</v>
      </c>
      <c r="L6" s="26" t="s">
        <v>61</v>
      </c>
      <c r="M6" s="94"/>
    </row>
    <row r="7" spans="1:14" x14ac:dyDescent="0.4">
      <c r="A7" s="2" t="s">
        <v>32</v>
      </c>
      <c r="B7" s="92" t="s">
        <v>29</v>
      </c>
      <c r="C7" s="93" t="s">
        <v>224</v>
      </c>
      <c r="L7" s="94" t="s">
        <v>39</v>
      </c>
      <c r="M7" s="94" t="s">
        <v>29</v>
      </c>
      <c r="N7" s="95" t="s">
        <v>69</v>
      </c>
    </row>
    <row r="8" spans="1:14" x14ac:dyDescent="0.4">
      <c r="A8" s="2" t="s">
        <v>34</v>
      </c>
      <c r="B8" s="92" t="s">
        <v>29</v>
      </c>
      <c r="C8" s="93" t="s">
        <v>35</v>
      </c>
      <c r="L8" s="94" t="s">
        <v>40</v>
      </c>
      <c r="M8" s="94" t="s">
        <v>29</v>
      </c>
      <c r="N8" s="95" t="s">
        <v>70</v>
      </c>
    </row>
    <row r="9" spans="1:14" x14ac:dyDescent="0.4">
      <c r="A9" s="2" t="s">
        <v>28</v>
      </c>
      <c r="B9" s="92" t="s">
        <v>29</v>
      </c>
      <c r="L9" s="94" t="s">
        <v>41</v>
      </c>
      <c r="M9" s="94" t="s">
        <v>29</v>
      </c>
      <c r="N9" s="95" t="s">
        <v>71</v>
      </c>
    </row>
    <row r="10" spans="1:14" x14ac:dyDescent="0.4">
      <c r="A10" s="2" t="s">
        <v>38</v>
      </c>
      <c r="B10" s="92" t="s">
        <v>29</v>
      </c>
      <c r="C10" s="2" t="s">
        <v>177</v>
      </c>
      <c r="D10" s="6" t="s">
        <v>92</v>
      </c>
      <c r="L10" s="94" t="s">
        <v>42</v>
      </c>
      <c r="M10" s="94" t="s">
        <v>29</v>
      </c>
      <c r="N10" s="95" t="s">
        <v>72</v>
      </c>
    </row>
    <row r="11" spans="1:14" x14ac:dyDescent="0.4">
      <c r="A11" s="2" t="s">
        <v>67</v>
      </c>
      <c r="B11" s="92" t="s">
        <v>29</v>
      </c>
      <c r="C11" s="24">
        <f>M16</f>
        <v>75.7</v>
      </c>
      <c r="L11" s="94" t="s">
        <v>43</v>
      </c>
      <c r="M11" s="94" t="s">
        <v>29</v>
      </c>
      <c r="N11" s="95" t="s">
        <v>73</v>
      </c>
    </row>
    <row r="13" spans="1:14" s="2" customFormat="1" x14ac:dyDescent="0.4">
      <c r="A13" s="67" t="s">
        <v>124</v>
      </c>
      <c r="B13" s="68" t="s">
        <v>2</v>
      </c>
      <c r="C13" s="68" t="s">
        <v>3</v>
      </c>
      <c r="D13" s="70" t="s">
        <v>19</v>
      </c>
      <c r="E13" s="42"/>
      <c r="F13" s="65" t="s">
        <v>18</v>
      </c>
      <c r="G13" s="65"/>
      <c r="H13" s="68" t="s">
        <v>37</v>
      </c>
      <c r="I13" s="68"/>
      <c r="J13" s="68"/>
      <c r="K13" s="68"/>
      <c r="L13" s="68"/>
      <c r="M13" s="65" t="s">
        <v>17</v>
      </c>
      <c r="N13" s="66" t="s">
        <v>61</v>
      </c>
    </row>
    <row r="14" spans="1:14" s="2" customFormat="1" x14ac:dyDescent="0.4">
      <c r="A14" s="67"/>
      <c r="B14" s="68"/>
      <c r="C14" s="96"/>
      <c r="D14" s="71"/>
      <c r="E14" s="44"/>
      <c r="F14" s="43" t="s">
        <v>14</v>
      </c>
      <c r="G14" s="43" t="s">
        <v>15</v>
      </c>
      <c r="H14" s="41" t="s">
        <v>39</v>
      </c>
      <c r="I14" s="41" t="s">
        <v>40</v>
      </c>
      <c r="J14" s="41" t="s">
        <v>41</v>
      </c>
      <c r="K14" s="41" t="s">
        <v>42</v>
      </c>
      <c r="L14" s="41" t="s">
        <v>43</v>
      </c>
      <c r="M14" s="65"/>
      <c r="N14" s="66"/>
    </row>
    <row r="15" spans="1:14" s="2" customFormat="1" x14ac:dyDescent="0.4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0"/>
    </row>
    <row r="16" spans="1:14" s="2" customFormat="1" x14ac:dyDescent="0.4">
      <c r="A16" s="3"/>
      <c r="B16" s="39"/>
      <c r="C16" s="63" t="s">
        <v>65</v>
      </c>
      <c r="D16" s="39"/>
      <c r="E16" s="39"/>
      <c r="F16" s="61"/>
      <c r="G16" s="61"/>
      <c r="H16" s="39"/>
      <c r="I16" s="39"/>
      <c r="J16" s="39"/>
      <c r="K16" s="39"/>
      <c r="L16" s="39"/>
      <c r="M16" s="40">
        <f>M17+M21+M27+M43+M60+M65+M69</f>
        <v>75.7</v>
      </c>
      <c r="N16" s="39"/>
    </row>
    <row r="17" spans="1:14" x14ac:dyDescent="0.4">
      <c r="B17" s="48" t="s">
        <v>66</v>
      </c>
      <c r="C17" s="49" t="s">
        <v>8</v>
      </c>
      <c r="D17" s="51">
        <f>SUM(D18:D19)</f>
        <v>0.1</v>
      </c>
      <c r="E17" s="51"/>
      <c r="F17" s="54"/>
      <c r="G17" s="54"/>
      <c r="H17" s="97"/>
      <c r="I17" s="97"/>
      <c r="J17" s="97"/>
      <c r="K17" s="97"/>
      <c r="L17" s="97"/>
      <c r="M17" s="54">
        <f>SUM(M18:M20)</f>
        <v>6</v>
      </c>
      <c r="N17" s="97"/>
    </row>
    <row r="18" spans="1:14" x14ac:dyDescent="0.4">
      <c r="A18" s="99" t="s">
        <v>102</v>
      </c>
      <c r="B18" s="100">
        <v>1</v>
      </c>
      <c r="C18" s="101" t="str">
        <f>VLOOKUP($A18,[3]PERTANYAAN!$A$18:$E$71,3,0)</f>
        <v>Pengalaman di dalam Daniswara Group</v>
      </c>
      <c r="D18" s="46">
        <f>VLOOKUP($A18,[3]PERTANYAAN!$A$18:$E$71,5,0)</f>
        <v>0.06</v>
      </c>
      <c r="E18" s="17"/>
      <c r="F18" s="16" t="s">
        <v>16</v>
      </c>
      <c r="G18" s="16"/>
      <c r="H18" s="102"/>
      <c r="I18" s="102"/>
      <c r="J18" s="102"/>
      <c r="K18" s="102"/>
      <c r="L18" s="102"/>
      <c r="M18" s="16">
        <f>IF(F18="V",D18*100,0)</f>
        <v>6</v>
      </c>
      <c r="N18" s="102"/>
    </row>
    <row r="19" spans="1:14" x14ac:dyDescent="0.4">
      <c r="A19" s="99" t="s">
        <v>103</v>
      </c>
      <c r="B19" s="100">
        <f>B18+1</f>
        <v>2</v>
      </c>
      <c r="C19" s="101" t="str">
        <f>VLOOKUP($A19,[3]PERTANYAAN!$A$18:$E$71,3,0)</f>
        <v>Pengalaman di luar Daniswara Group</v>
      </c>
      <c r="D19" s="46">
        <f>VLOOKUP($A19,[3]PERTANYAAN!$A$18:$E$71,5,0)</f>
        <v>0.04</v>
      </c>
      <c r="E19" s="17"/>
      <c r="F19" s="16"/>
      <c r="G19" s="16" t="s">
        <v>16</v>
      </c>
      <c r="H19" s="102"/>
      <c r="I19" s="102"/>
      <c r="J19" s="102"/>
      <c r="K19" s="102"/>
      <c r="L19" s="102"/>
      <c r="M19" s="16">
        <f>IF(F19="V",D19*100,0)</f>
        <v>0</v>
      </c>
      <c r="N19" s="102"/>
    </row>
    <row r="20" spans="1:14" x14ac:dyDescent="0.4">
      <c r="A20" s="92"/>
      <c r="B20" s="104"/>
      <c r="C20" s="103"/>
      <c r="D20" s="17"/>
      <c r="E20" s="17"/>
      <c r="F20" s="16"/>
      <c r="G20" s="16"/>
      <c r="H20" s="102"/>
      <c r="I20" s="102"/>
      <c r="J20" s="102"/>
      <c r="K20" s="102"/>
      <c r="L20" s="102"/>
      <c r="M20" s="16"/>
      <c r="N20" s="102"/>
    </row>
    <row r="21" spans="1:14" x14ac:dyDescent="0.4">
      <c r="A21" s="92"/>
      <c r="B21" s="48" t="s">
        <v>42</v>
      </c>
      <c r="C21" s="49" t="s">
        <v>9</v>
      </c>
      <c r="D21" s="51">
        <f>SUM(D22:D25)</f>
        <v>0.05</v>
      </c>
      <c r="E21" s="51"/>
      <c r="F21" s="54"/>
      <c r="G21" s="54"/>
      <c r="H21" s="97"/>
      <c r="I21" s="97"/>
      <c r="J21" s="97"/>
      <c r="K21" s="97"/>
      <c r="L21" s="97"/>
      <c r="M21" s="54">
        <f>SUM(M22:M25)</f>
        <v>1</v>
      </c>
      <c r="N21" s="97"/>
    </row>
    <row r="22" spans="1:14" x14ac:dyDescent="0.4">
      <c r="A22" s="99" t="s">
        <v>104</v>
      </c>
      <c r="B22" s="100">
        <v>1</v>
      </c>
      <c r="C22" s="101" t="str">
        <f>VLOOKUP($A22,[3]PERTANYAAN!$A$18:$E$71,3,0)</f>
        <v>Identitas (KTP &amp; KK)</v>
      </c>
      <c r="D22" s="46">
        <f>VLOOKUP($A22,[3]PERTANYAAN!$A$18:$E$71,5,0)</f>
        <v>0.01</v>
      </c>
      <c r="E22" s="17"/>
      <c r="F22" s="16" t="s">
        <v>16</v>
      </c>
      <c r="G22" s="16"/>
      <c r="H22" s="102"/>
      <c r="I22" s="102"/>
      <c r="J22" s="102"/>
      <c r="K22" s="102"/>
      <c r="L22" s="102"/>
      <c r="M22" s="16">
        <f>IF(F22="V",D22*100,0)</f>
        <v>1</v>
      </c>
      <c r="N22" s="102"/>
    </row>
    <row r="23" spans="1:14" x14ac:dyDescent="0.4">
      <c r="A23" s="99" t="s">
        <v>105</v>
      </c>
      <c r="B23" s="100">
        <f>B22+1</f>
        <v>2</v>
      </c>
      <c r="C23" s="101" t="str">
        <f>VLOOKUP($A23,[3]PERTANYAAN!$A$18:$E$71,3,0)</f>
        <v>SIM A (utk jabatan di Divisi Operasi)</v>
      </c>
      <c r="D23" s="46">
        <f>VLOOKUP($A23,[3]PERTANYAAN!$A$18:$E$71,5,0)</f>
        <v>0.02</v>
      </c>
      <c r="E23" s="17"/>
      <c r="F23" s="16"/>
      <c r="G23" s="16"/>
      <c r="H23" s="102"/>
      <c r="I23" s="102"/>
      <c r="J23" s="102"/>
      <c r="K23" s="102"/>
      <c r="L23" s="102"/>
      <c r="M23" s="16">
        <f>IF(F23="V",D23*100,0)</f>
        <v>0</v>
      </c>
      <c r="N23" s="102" t="s">
        <v>225</v>
      </c>
    </row>
    <row r="24" spans="1:14" x14ac:dyDescent="0.4">
      <c r="A24" s="99" t="s">
        <v>106</v>
      </c>
      <c r="B24" s="100">
        <f t="shared" ref="B24:B25" si="0">B23+1</f>
        <v>3</v>
      </c>
      <c r="C24" s="101" t="str">
        <f>VLOOKUP($A24,[3]PERTANYAAN!$A$18:$E$71,3,0)</f>
        <v>SIM C</v>
      </c>
      <c r="D24" s="46">
        <f>VLOOKUP($A24,[3]PERTANYAAN!$A$18:$E$71,5,0)</f>
        <v>0.01</v>
      </c>
      <c r="E24" s="17"/>
      <c r="F24" s="16"/>
      <c r="G24" s="16"/>
      <c r="H24" s="102"/>
      <c r="I24" s="102"/>
      <c r="J24" s="102"/>
      <c r="K24" s="102"/>
      <c r="L24" s="102"/>
      <c r="M24" s="16">
        <f>IF(F24="V",D24*100,0)</f>
        <v>0</v>
      </c>
      <c r="N24" s="102" t="s">
        <v>225</v>
      </c>
    </row>
    <row r="25" spans="1:14" x14ac:dyDescent="0.4">
      <c r="A25" s="99" t="s">
        <v>107</v>
      </c>
      <c r="B25" s="100">
        <f t="shared" si="0"/>
        <v>4</v>
      </c>
      <c r="C25" s="101" t="str">
        <f>VLOOKUP($A25,[3]PERTANYAAN!$A$18:$E$71,3,0)</f>
        <v>NPWP</v>
      </c>
      <c r="D25" s="46">
        <f>VLOOKUP($A25,[3]PERTANYAAN!$A$18:$E$71,5,0)</f>
        <v>0.01</v>
      </c>
      <c r="E25" s="17"/>
      <c r="F25" s="16"/>
      <c r="G25" s="16" t="s">
        <v>16</v>
      </c>
      <c r="H25" s="102"/>
      <c r="I25" s="102"/>
      <c r="J25" s="102"/>
      <c r="K25" s="102"/>
      <c r="L25" s="102"/>
      <c r="M25" s="16">
        <f>IF(F25="V",D25*100,0)</f>
        <v>0</v>
      </c>
      <c r="N25" s="102"/>
    </row>
    <row r="26" spans="1:14" x14ac:dyDescent="0.4">
      <c r="A26" s="92"/>
      <c r="B26" s="104"/>
      <c r="C26" s="103"/>
      <c r="D26" s="17"/>
      <c r="E26" s="17"/>
      <c r="F26" s="16"/>
      <c r="G26" s="16"/>
      <c r="H26" s="102"/>
      <c r="I26" s="102"/>
      <c r="J26" s="102"/>
      <c r="K26" s="102"/>
      <c r="L26" s="102"/>
      <c r="M26" s="16"/>
      <c r="N26" s="102"/>
    </row>
    <row r="27" spans="1:14" x14ac:dyDescent="0.4">
      <c r="A27" s="92"/>
      <c r="B27" s="48" t="s">
        <v>97</v>
      </c>
      <c r="C27" s="49" t="s">
        <v>21</v>
      </c>
      <c r="D27" s="51">
        <f>D28</f>
        <v>0.35000000000000003</v>
      </c>
      <c r="E27" s="57"/>
      <c r="F27" s="60"/>
      <c r="G27" s="60"/>
      <c r="H27" s="97"/>
      <c r="I27" s="97"/>
      <c r="J27" s="97"/>
      <c r="K27" s="97"/>
      <c r="L27" s="97"/>
      <c r="M27" s="54">
        <f>M28</f>
        <v>33</v>
      </c>
      <c r="N27" s="97"/>
    </row>
    <row r="28" spans="1:14" x14ac:dyDescent="0.4">
      <c r="A28" s="99" t="s">
        <v>108</v>
      </c>
      <c r="B28" s="100">
        <v>1</v>
      </c>
      <c r="C28" s="101" t="str">
        <f>VLOOKUP($A28,[3]PERTANYAAN!$A$18:$E$71,3,0)</f>
        <v>Operasi / Logistik</v>
      </c>
      <c r="D28" s="46">
        <f>VLOOKUP($A28,[3]PERTANYAAN!$A$18:$E$71,5,0)</f>
        <v>0.35000000000000003</v>
      </c>
      <c r="E28" s="17"/>
      <c r="F28" s="16"/>
      <c r="G28" s="16"/>
      <c r="H28" s="102"/>
      <c r="I28" s="102"/>
      <c r="J28" s="102"/>
      <c r="K28" s="102"/>
      <c r="L28" s="102"/>
      <c r="M28" s="16">
        <f>SUM(M29:M33)</f>
        <v>33</v>
      </c>
      <c r="N28" s="102"/>
    </row>
    <row r="29" spans="1:14" x14ac:dyDescent="0.4">
      <c r="A29" s="99" t="s">
        <v>109</v>
      </c>
      <c r="B29" s="100" t="s">
        <v>6</v>
      </c>
      <c r="C29" s="101" t="str">
        <f>VLOOKUP($A29,[3]PERTANYAAN!$A$18:$E$71,3,0)</f>
        <v>Skill Mengemudi</v>
      </c>
      <c r="D29" s="46">
        <f>VLOOKUP($A29,[3]PERTANYAAN!$A$18:$E$71,5,0)</f>
        <v>0.15</v>
      </c>
      <c r="E29" s="17"/>
      <c r="F29" s="16"/>
      <c r="G29" s="16"/>
      <c r="H29" s="102"/>
      <c r="I29" s="102"/>
      <c r="J29" s="102"/>
      <c r="K29" s="102"/>
      <c r="L29" s="102" t="s">
        <v>16</v>
      </c>
      <c r="M29" s="16">
        <f>IF(H29="V",$D29*H$15,IF(I29="V",$D29*I$15,IF(J29="V",$D29*J$15,IF(K29="V",$D29*K$15,IF(L29="V",$D29*L$15,0)))))*100</f>
        <v>15</v>
      </c>
      <c r="N29" s="102" t="s">
        <v>226</v>
      </c>
    </row>
    <row r="30" spans="1:14" x14ac:dyDescent="0.4">
      <c r="A30" s="99" t="s">
        <v>110</v>
      </c>
      <c r="B30" s="100" t="s">
        <v>6</v>
      </c>
      <c r="C30" s="101" t="str">
        <f>VLOOKUP($A30,[3]PERTANYAAN!$A$18:$E$71,3,0)</f>
        <v>Flow Administrasi Logistik</v>
      </c>
      <c r="D30" s="46">
        <f>VLOOKUP($A30,[3]PERTANYAAN!$A$18:$E$71,5,0)</f>
        <v>0.1</v>
      </c>
      <c r="E30" s="17"/>
      <c r="F30" s="16"/>
      <c r="G30" s="16"/>
      <c r="H30" s="102"/>
      <c r="I30" s="102"/>
      <c r="J30" s="102"/>
      <c r="K30" s="102" t="s">
        <v>16</v>
      </c>
      <c r="L30" s="102"/>
      <c r="M30" s="16">
        <f t="shared" ref="M30:M32" si="1">IF(H30="V",$D30*H$15,IF(I30="V",$D30*I$15,IF(J30="V",$D30*J$15,IF(K30="V",$D30*K$15,IF(L30="V",$D30*L$15,0)))))*100</f>
        <v>8.0000000000000018</v>
      </c>
      <c r="N30" s="102" t="s">
        <v>227</v>
      </c>
    </row>
    <row r="31" spans="1:14" x14ac:dyDescent="0.4">
      <c r="A31" s="99" t="s">
        <v>111</v>
      </c>
      <c r="B31" s="100" t="s">
        <v>6</v>
      </c>
      <c r="C31" s="101" t="str">
        <f>VLOOKUP($A31,[3]PERTANYAAN!$A$18:$E$71,3,0)</f>
        <v>Pengetahuan terkait logistik</v>
      </c>
      <c r="D31" s="46">
        <f>VLOOKUP($A31,[3]PERTANYAAN!$A$18:$E$71,5,0)</f>
        <v>2.5000000000000001E-2</v>
      </c>
      <c r="E31" s="17"/>
      <c r="F31" s="16"/>
      <c r="G31" s="16"/>
      <c r="H31" s="102"/>
      <c r="I31" s="102"/>
      <c r="J31" s="102"/>
      <c r="K31" s="102"/>
      <c r="L31" s="102" t="s">
        <v>16</v>
      </c>
      <c r="M31" s="16">
        <f t="shared" si="1"/>
        <v>2.5</v>
      </c>
      <c r="N31" s="102"/>
    </row>
    <row r="32" spans="1:14" x14ac:dyDescent="0.4">
      <c r="A32" s="99" t="s">
        <v>112</v>
      </c>
      <c r="B32" s="100" t="s">
        <v>6</v>
      </c>
      <c r="C32" s="101" t="str">
        <f>VLOOKUP($A32,[3]PERTANYAAN!$A$18:$E$71,3,0)</f>
        <v>Pengalaman di Bongkar Muat</v>
      </c>
      <c r="D32" s="46">
        <f>VLOOKUP($A32,[3]PERTANYAAN!$A$18:$E$71,5,0)</f>
        <v>7.4999999999999997E-2</v>
      </c>
      <c r="E32" s="17"/>
      <c r="F32" s="16"/>
      <c r="G32" s="16"/>
      <c r="H32" s="102"/>
      <c r="I32" s="102"/>
      <c r="J32" s="102"/>
      <c r="K32" s="102"/>
      <c r="L32" s="102" t="s">
        <v>16</v>
      </c>
      <c r="M32" s="16">
        <f t="shared" si="1"/>
        <v>7.5</v>
      </c>
      <c r="N32" s="102"/>
    </row>
    <row r="33" spans="1:14" x14ac:dyDescent="0.4">
      <c r="A33" s="92"/>
      <c r="B33" s="100"/>
      <c r="C33" s="103"/>
      <c r="D33" s="17"/>
      <c r="E33" s="17"/>
      <c r="F33" s="16"/>
      <c r="G33" s="16"/>
      <c r="H33" s="102"/>
      <c r="I33" s="102"/>
      <c r="J33" s="102"/>
      <c r="K33" s="102"/>
      <c r="L33" s="102"/>
      <c r="M33" s="16"/>
      <c r="N33" s="102"/>
    </row>
    <row r="34" spans="1:14" hidden="1" outlineLevel="1" x14ac:dyDescent="0.4">
      <c r="A34" s="92"/>
      <c r="B34" s="100">
        <f>B28+1</f>
        <v>2</v>
      </c>
      <c r="C34" s="103" t="s">
        <v>22</v>
      </c>
      <c r="D34" s="17">
        <f>SUM(D35:D37)</f>
        <v>0.35</v>
      </c>
      <c r="E34" s="17"/>
      <c r="F34" s="16"/>
      <c r="G34" s="16"/>
      <c r="H34" s="102"/>
      <c r="I34" s="102"/>
      <c r="J34" s="102"/>
      <c r="K34" s="102"/>
      <c r="L34" s="102"/>
      <c r="M34" s="16"/>
      <c r="N34" s="102"/>
    </row>
    <row r="35" spans="1:14" hidden="1" outlineLevel="1" x14ac:dyDescent="0.4">
      <c r="A35" s="92"/>
      <c r="B35" s="100" t="s">
        <v>6</v>
      </c>
      <c r="C35" s="103" t="s">
        <v>44</v>
      </c>
      <c r="D35" s="17">
        <v>0.15</v>
      </c>
      <c r="E35" s="17"/>
      <c r="F35" s="16"/>
      <c r="G35" s="16"/>
      <c r="H35" s="102"/>
      <c r="I35" s="102"/>
      <c r="J35" s="102"/>
      <c r="K35" s="102"/>
      <c r="L35" s="102"/>
      <c r="M35" s="16"/>
      <c r="N35" s="102"/>
    </row>
    <row r="36" spans="1:14" hidden="1" outlineLevel="1" x14ac:dyDescent="0.4">
      <c r="A36" s="92"/>
      <c r="B36" s="100" t="s">
        <v>6</v>
      </c>
      <c r="C36" s="103" t="s">
        <v>50</v>
      </c>
      <c r="D36" s="17">
        <v>0.2</v>
      </c>
      <c r="E36" s="17"/>
      <c r="F36" s="16"/>
      <c r="G36" s="16"/>
      <c r="H36" s="102"/>
      <c r="I36" s="102"/>
      <c r="J36" s="102"/>
      <c r="K36" s="102"/>
      <c r="L36" s="102"/>
      <c r="M36" s="16"/>
      <c r="N36" s="102"/>
    </row>
    <row r="37" spans="1:14" hidden="1" outlineLevel="1" x14ac:dyDescent="0.4">
      <c r="A37" s="92"/>
      <c r="B37" s="100"/>
      <c r="C37" s="103"/>
      <c r="D37" s="17"/>
      <c r="E37" s="17"/>
      <c r="F37" s="16"/>
      <c r="G37" s="16"/>
      <c r="H37" s="102"/>
      <c r="I37" s="102"/>
      <c r="J37" s="102"/>
      <c r="K37" s="102"/>
      <c r="L37" s="102"/>
      <c r="M37" s="16"/>
      <c r="N37" s="102"/>
    </row>
    <row r="38" spans="1:14" hidden="1" outlineLevel="1" x14ac:dyDescent="0.4">
      <c r="A38" s="92"/>
      <c r="B38" s="104">
        <v>3</v>
      </c>
      <c r="C38" s="103" t="s">
        <v>23</v>
      </c>
      <c r="D38" s="17"/>
      <c r="E38" s="17"/>
      <c r="F38" s="16"/>
      <c r="G38" s="16"/>
      <c r="H38" s="102"/>
      <c r="I38" s="102"/>
      <c r="J38" s="102"/>
      <c r="K38" s="102"/>
      <c r="L38" s="102"/>
      <c r="M38" s="16"/>
      <c r="N38" s="102"/>
    </row>
    <row r="39" spans="1:14" hidden="1" outlineLevel="1" x14ac:dyDescent="0.4">
      <c r="A39" s="92"/>
      <c r="B39" s="100" t="s">
        <v>6</v>
      </c>
      <c r="C39" s="103" t="s">
        <v>52</v>
      </c>
      <c r="D39" s="17"/>
      <c r="E39" s="17"/>
      <c r="F39" s="16"/>
      <c r="G39" s="16"/>
      <c r="H39" s="102"/>
      <c r="I39" s="102"/>
      <c r="J39" s="102"/>
      <c r="K39" s="102"/>
      <c r="L39" s="102"/>
      <c r="M39" s="16"/>
      <c r="N39" s="102"/>
    </row>
    <row r="40" spans="1:14" hidden="1" outlineLevel="1" x14ac:dyDescent="0.4">
      <c r="A40" s="92"/>
      <c r="B40" s="100" t="s">
        <v>6</v>
      </c>
      <c r="C40" s="103" t="s">
        <v>53</v>
      </c>
      <c r="D40" s="17"/>
      <c r="E40" s="17"/>
      <c r="F40" s="16"/>
      <c r="G40" s="16"/>
      <c r="H40" s="102"/>
      <c r="I40" s="102"/>
      <c r="J40" s="102"/>
      <c r="K40" s="102"/>
      <c r="L40" s="102"/>
      <c r="M40" s="16"/>
      <c r="N40" s="102"/>
    </row>
    <row r="41" spans="1:14" hidden="1" outlineLevel="1" x14ac:dyDescent="0.4">
      <c r="A41" s="92"/>
      <c r="B41" s="100" t="s">
        <v>6</v>
      </c>
      <c r="C41" s="103"/>
      <c r="D41" s="17"/>
      <c r="E41" s="17"/>
      <c r="F41" s="16"/>
      <c r="G41" s="16"/>
      <c r="H41" s="102"/>
      <c r="I41" s="102"/>
      <c r="J41" s="102"/>
      <c r="K41" s="102"/>
      <c r="L41" s="102"/>
      <c r="M41" s="16"/>
      <c r="N41" s="102"/>
    </row>
    <row r="42" spans="1:14" hidden="1" outlineLevel="1" x14ac:dyDescent="0.4">
      <c r="A42" s="92"/>
      <c r="B42" s="104"/>
      <c r="C42" s="103"/>
      <c r="D42" s="17"/>
      <c r="E42" s="17"/>
      <c r="F42" s="16"/>
      <c r="G42" s="16"/>
      <c r="H42" s="102"/>
      <c r="I42" s="102"/>
      <c r="J42" s="102"/>
      <c r="K42" s="102"/>
      <c r="L42" s="102"/>
      <c r="M42" s="16"/>
      <c r="N42" s="102"/>
    </row>
    <row r="43" spans="1:14" s="2" customFormat="1" collapsed="1" x14ac:dyDescent="0.4">
      <c r="A43" s="3"/>
      <c r="B43" s="48" t="s">
        <v>98</v>
      </c>
      <c r="C43" s="49" t="s">
        <v>24</v>
      </c>
      <c r="D43" s="51">
        <f>D44</f>
        <v>0.25</v>
      </c>
      <c r="E43" s="51"/>
      <c r="F43" s="54"/>
      <c r="G43" s="54"/>
      <c r="H43" s="59"/>
      <c r="I43" s="59"/>
      <c r="J43" s="59"/>
      <c r="K43" s="59"/>
      <c r="L43" s="59"/>
      <c r="M43" s="54">
        <f>M44</f>
        <v>19</v>
      </c>
      <c r="N43" s="59"/>
    </row>
    <row r="44" spans="1:14" x14ac:dyDescent="0.4">
      <c r="A44" s="92" t="s">
        <v>113</v>
      </c>
      <c r="B44" s="104">
        <v>1</v>
      </c>
      <c r="C44" s="101" t="str">
        <f>VLOOKUP($A44,[3]PERTANYAAN!$A$18:$E$71,3,0)</f>
        <v>Staff</v>
      </c>
      <c r="D44" s="46">
        <f>VLOOKUP($A44,[3]PERTANYAAN!$A$18:$E$71,5,0)</f>
        <v>0.25</v>
      </c>
      <c r="E44" s="17"/>
      <c r="F44" s="16"/>
      <c r="G44" s="16"/>
      <c r="H44" s="102"/>
      <c r="I44" s="102"/>
      <c r="J44" s="102"/>
      <c r="K44" s="102"/>
      <c r="L44" s="102"/>
      <c r="M44" s="16">
        <f>SUM(M45:M48)</f>
        <v>19</v>
      </c>
      <c r="N44" s="102"/>
    </row>
    <row r="45" spans="1:14" x14ac:dyDescent="0.4">
      <c r="A45" s="99" t="s">
        <v>114</v>
      </c>
      <c r="B45" s="100" t="s">
        <v>6</v>
      </c>
      <c r="C45" s="101" t="str">
        <f>VLOOKUP($A45,[3]PERTANYAAN!$A$18:$E$71,3,0)</f>
        <v>Kepemimpinan</v>
      </c>
      <c r="D45" s="46">
        <f>VLOOKUP($A45,[3]PERTANYAAN!$A$18:$E$71,5,0)</f>
        <v>2.5000000000000001E-2</v>
      </c>
      <c r="E45" s="17"/>
      <c r="F45" s="16"/>
      <c r="G45" s="16"/>
      <c r="H45" s="102"/>
      <c r="I45" s="102"/>
      <c r="J45" s="102"/>
      <c r="K45" s="102" t="s">
        <v>16</v>
      </c>
      <c r="L45" s="102"/>
      <c r="M45" s="16">
        <f>IF(H45="V",$D45*H$15,IF(I45="V",$D45*I$15,IF(J45="V",$D45*J$15,IF(K45="V",$D45*K$15,IF(L45="V",$D45*L$15,0)))))*100</f>
        <v>2.0000000000000004</v>
      </c>
      <c r="N45" s="102" t="s">
        <v>228</v>
      </c>
    </row>
    <row r="46" spans="1:14" x14ac:dyDescent="0.4">
      <c r="A46" s="99" t="s">
        <v>115</v>
      </c>
      <c r="B46" s="100" t="s">
        <v>6</v>
      </c>
      <c r="C46" s="101" t="str">
        <f>VLOOKUP($A46,[3]PERTANYAAN!$A$18:$E$71,3,0)</f>
        <v>Komunikasi</v>
      </c>
      <c r="D46" s="46">
        <f>VLOOKUP($A46,[3]PERTANYAAN!$A$18:$E$71,5,0)</f>
        <v>0.1</v>
      </c>
      <c r="E46" s="17"/>
      <c r="F46" s="16"/>
      <c r="G46" s="16"/>
      <c r="H46" s="102"/>
      <c r="I46" s="102"/>
      <c r="J46" s="102"/>
      <c r="K46" s="102" t="s">
        <v>16</v>
      </c>
      <c r="L46" s="102"/>
      <c r="M46" s="16">
        <f>IF(H46="V",$D46*H$15,IF(I46="V",$D46*I$15,IF(J46="V",$D46*J$15,IF(K46="V",$D46*K$15,IF(L46="V",$D46*L$15,0)))))*100</f>
        <v>8.0000000000000018</v>
      </c>
      <c r="N46" s="102" t="s">
        <v>229</v>
      </c>
    </row>
    <row r="47" spans="1:14" x14ac:dyDescent="0.4">
      <c r="A47" s="99" t="s">
        <v>116</v>
      </c>
      <c r="B47" s="100" t="s">
        <v>6</v>
      </c>
      <c r="C47" s="101" t="str">
        <f>VLOOKUP($A47,[3]PERTANYAAN!$A$18:$E$71,3,0)</f>
        <v>Patuh pada Peraturan / Commitment</v>
      </c>
      <c r="D47" s="46">
        <f>VLOOKUP($A47,[3]PERTANYAAN!$A$18:$E$71,5,0)</f>
        <v>0.05</v>
      </c>
      <c r="E47" s="17"/>
      <c r="F47" s="16"/>
      <c r="G47" s="16"/>
      <c r="H47" s="102"/>
      <c r="I47" s="102"/>
      <c r="J47" s="102" t="s">
        <v>16</v>
      </c>
      <c r="K47" s="102"/>
      <c r="L47" s="102"/>
      <c r="M47" s="16">
        <f>IF(H47="V",$D47*H$15,IF(I47="V",$D47*I$15,IF(J47="V",$D47*J$15,IF(K47="V",$D47*K$15,IF(L47="V",$D47*L$15,0)))))*100</f>
        <v>3</v>
      </c>
      <c r="N47" s="102" t="s">
        <v>230</v>
      </c>
    </row>
    <row r="48" spans="1:14" x14ac:dyDescent="0.4">
      <c r="A48" s="99" t="s">
        <v>117</v>
      </c>
      <c r="B48" s="100" t="s">
        <v>6</v>
      </c>
      <c r="C48" s="101" t="str">
        <f>VLOOKUP($A48,[3]PERTANYAAN!$A$18:$E$71,3,0)</f>
        <v>Determinasi thd tekanan</v>
      </c>
      <c r="D48" s="46">
        <f>VLOOKUP($A48,[3]PERTANYAAN!$A$18:$E$71,5,0)</f>
        <v>7.4999999999999997E-2</v>
      </c>
      <c r="E48" s="17"/>
      <c r="F48" s="16"/>
      <c r="G48" s="16"/>
      <c r="H48" s="102"/>
      <c r="I48" s="102"/>
      <c r="J48" s="102"/>
      <c r="K48" s="102" t="s">
        <v>16</v>
      </c>
      <c r="L48" s="102"/>
      <c r="M48" s="16">
        <f>IF(H48="V",$D48*H$15,IF(I48="V",$D48*I$15,IF(J48="V",$D48*J$15,IF(K48="V",$D48*K$15,IF(L48="V",$D48*L$15,0)))))*100</f>
        <v>6</v>
      </c>
      <c r="N48" s="102" t="s">
        <v>231</v>
      </c>
    </row>
    <row r="49" spans="1:14" x14ac:dyDescent="0.4">
      <c r="A49" s="92"/>
      <c r="B49" s="100"/>
      <c r="C49" s="103"/>
      <c r="D49" s="17"/>
      <c r="E49" s="17"/>
      <c r="F49" s="16"/>
      <c r="G49" s="16"/>
      <c r="H49" s="102"/>
      <c r="I49" s="102"/>
      <c r="J49" s="102"/>
      <c r="K49" s="102"/>
      <c r="L49" s="102"/>
      <c r="M49" s="16"/>
      <c r="N49" s="102"/>
    </row>
    <row r="50" spans="1:14" hidden="1" outlineLevel="1" x14ac:dyDescent="0.4">
      <c r="A50" s="92"/>
      <c r="B50" s="104">
        <v>2</v>
      </c>
      <c r="C50" s="103" t="s">
        <v>26</v>
      </c>
      <c r="D50" s="17"/>
      <c r="E50" s="17"/>
      <c r="F50" s="16"/>
      <c r="G50" s="16"/>
      <c r="H50" s="102"/>
      <c r="I50" s="102"/>
      <c r="J50" s="102"/>
      <c r="K50" s="102"/>
      <c r="L50" s="102"/>
      <c r="M50" s="16"/>
      <c r="N50" s="102"/>
    </row>
    <row r="51" spans="1:14" hidden="1" outlineLevel="1" x14ac:dyDescent="0.4">
      <c r="A51" s="92"/>
      <c r="B51" s="100" t="s">
        <v>6</v>
      </c>
      <c r="C51" s="103" t="s">
        <v>54</v>
      </c>
      <c r="D51" s="17"/>
      <c r="E51" s="17"/>
      <c r="F51" s="16"/>
      <c r="G51" s="16"/>
      <c r="H51" s="102"/>
      <c r="I51" s="102"/>
      <c r="J51" s="102"/>
      <c r="K51" s="102"/>
      <c r="L51" s="102"/>
      <c r="M51" s="16"/>
      <c r="N51" s="102"/>
    </row>
    <row r="52" spans="1:14" hidden="1" outlineLevel="1" x14ac:dyDescent="0.4">
      <c r="A52" s="92"/>
      <c r="B52" s="100" t="s">
        <v>6</v>
      </c>
      <c r="C52" s="103" t="s">
        <v>55</v>
      </c>
      <c r="D52" s="17"/>
      <c r="E52" s="17"/>
      <c r="F52" s="16"/>
      <c r="G52" s="16"/>
      <c r="H52" s="102"/>
      <c r="I52" s="102"/>
      <c r="J52" s="102"/>
      <c r="K52" s="102"/>
      <c r="L52" s="102"/>
      <c r="M52" s="16"/>
      <c r="N52" s="102"/>
    </row>
    <row r="53" spans="1:14" hidden="1" outlineLevel="1" x14ac:dyDescent="0.4">
      <c r="A53" s="92"/>
      <c r="B53" s="100" t="s">
        <v>6</v>
      </c>
      <c r="C53" s="103" t="s">
        <v>56</v>
      </c>
      <c r="D53" s="17"/>
      <c r="E53" s="17"/>
      <c r="F53" s="16"/>
      <c r="G53" s="16"/>
      <c r="H53" s="102"/>
      <c r="I53" s="102"/>
      <c r="J53" s="102"/>
      <c r="K53" s="102"/>
      <c r="L53" s="102"/>
      <c r="M53" s="16"/>
      <c r="N53" s="102"/>
    </row>
    <row r="54" spans="1:14" hidden="1" outlineLevel="1" x14ac:dyDescent="0.4">
      <c r="A54" s="92"/>
      <c r="B54" s="100"/>
      <c r="C54" s="103"/>
      <c r="D54" s="17"/>
      <c r="E54" s="17"/>
      <c r="F54" s="16"/>
      <c r="G54" s="16"/>
      <c r="H54" s="102"/>
      <c r="I54" s="102"/>
      <c r="J54" s="102"/>
      <c r="K54" s="102"/>
      <c r="L54" s="102"/>
      <c r="M54" s="16"/>
      <c r="N54" s="102"/>
    </row>
    <row r="55" spans="1:14" hidden="1" outlineLevel="1" x14ac:dyDescent="0.4">
      <c r="A55" s="92"/>
      <c r="B55" s="104">
        <v>3</v>
      </c>
      <c r="C55" s="103" t="s">
        <v>27</v>
      </c>
      <c r="D55" s="17"/>
      <c r="E55" s="17"/>
      <c r="F55" s="16"/>
      <c r="G55" s="16"/>
      <c r="H55" s="102"/>
      <c r="I55" s="102"/>
      <c r="J55" s="102"/>
      <c r="K55" s="102"/>
      <c r="L55" s="102"/>
      <c r="M55" s="16"/>
      <c r="N55" s="102"/>
    </row>
    <row r="56" spans="1:14" hidden="1" outlineLevel="1" x14ac:dyDescent="0.4">
      <c r="A56" s="92"/>
      <c r="B56" s="100" t="s">
        <v>6</v>
      </c>
      <c r="C56" s="103" t="s">
        <v>54</v>
      </c>
      <c r="D56" s="17"/>
      <c r="E56" s="17"/>
      <c r="F56" s="16"/>
      <c r="G56" s="16"/>
      <c r="H56" s="102"/>
      <c r="I56" s="102"/>
      <c r="J56" s="102"/>
      <c r="K56" s="102"/>
      <c r="L56" s="102"/>
      <c r="M56" s="16"/>
      <c r="N56" s="102"/>
    </row>
    <row r="57" spans="1:14" hidden="1" outlineLevel="1" x14ac:dyDescent="0.4">
      <c r="A57" s="92"/>
      <c r="B57" s="100" t="s">
        <v>6</v>
      </c>
      <c r="C57" s="103" t="s">
        <v>56</v>
      </c>
      <c r="D57" s="17"/>
      <c r="E57" s="17"/>
      <c r="F57" s="16"/>
      <c r="G57" s="16"/>
      <c r="H57" s="102"/>
      <c r="I57" s="102"/>
      <c r="J57" s="102"/>
      <c r="K57" s="102"/>
      <c r="L57" s="102"/>
      <c r="M57" s="16"/>
      <c r="N57" s="102"/>
    </row>
    <row r="58" spans="1:14" hidden="1" outlineLevel="1" x14ac:dyDescent="0.4">
      <c r="A58" s="92"/>
      <c r="B58" s="100" t="s">
        <v>6</v>
      </c>
      <c r="C58" s="103" t="s">
        <v>57</v>
      </c>
      <c r="D58" s="17"/>
      <c r="E58" s="17"/>
      <c r="F58" s="16"/>
      <c r="G58" s="16"/>
      <c r="H58" s="102"/>
      <c r="I58" s="102"/>
      <c r="J58" s="102"/>
      <c r="K58" s="102"/>
      <c r="L58" s="102"/>
      <c r="M58" s="16"/>
      <c r="N58" s="102"/>
    </row>
    <row r="59" spans="1:14" hidden="1" outlineLevel="1" x14ac:dyDescent="0.4">
      <c r="A59" s="92"/>
      <c r="B59" s="104"/>
      <c r="C59" s="103"/>
      <c r="D59" s="17"/>
      <c r="E59" s="17"/>
      <c r="F59" s="16"/>
      <c r="G59" s="16"/>
      <c r="H59" s="102"/>
      <c r="I59" s="102"/>
      <c r="J59" s="102"/>
      <c r="K59" s="102"/>
      <c r="L59" s="102"/>
      <c r="M59" s="16"/>
      <c r="N59" s="102"/>
    </row>
    <row r="60" spans="1:14" s="2" customFormat="1" collapsed="1" x14ac:dyDescent="0.4">
      <c r="A60" s="3"/>
      <c r="B60" s="48" t="s">
        <v>99</v>
      </c>
      <c r="C60" s="49" t="s">
        <v>46</v>
      </c>
      <c r="D60" s="51">
        <f>SUM(D61:D64)</f>
        <v>0.15</v>
      </c>
      <c r="E60" s="51"/>
      <c r="F60" s="54"/>
      <c r="G60" s="54"/>
      <c r="H60" s="59"/>
      <c r="I60" s="59"/>
      <c r="J60" s="59"/>
      <c r="K60" s="59"/>
      <c r="L60" s="59"/>
      <c r="M60" s="54">
        <f>SUM(M61:M64)</f>
        <v>14.5</v>
      </c>
      <c r="N60" s="59"/>
    </row>
    <row r="61" spans="1:14" x14ac:dyDescent="0.4">
      <c r="A61" s="99" t="s">
        <v>118</v>
      </c>
      <c r="B61" s="100" t="s">
        <v>6</v>
      </c>
      <c r="C61" s="101" t="str">
        <f>VLOOKUP($A61,[3]PERTANYAAN!$A$18:$E$71,3,0)</f>
        <v>Antusiasme / Keinginan bergabung</v>
      </c>
      <c r="D61" s="46">
        <f>VLOOKUP($A61,[3]PERTANYAAN!$A$18:$E$71,5,0)</f>
        <v>7.4999999999999997E-2</v>
      </c>
      <c r="E61" s="17"/>
      <c r="F61" s="16"/>
      <c r="G61" s="16"/>
      <c r="H61" s="102"/>
      <c r="I61" s="102"/>
      <c r="J61" s="102"/>
      <c r="K61" s="102"/>
      <c r="L61" s="102" t="s">
        <v>16</v>
      </c>
      <c r="M61" s="16">
        <f t="shared" ref="M61:M63" si="2">IF(H61="V",$D61*H$15,IF(I61="V",$D61*I$15,IF(J61="V",$D61*J$15,IF(K61="V",$D61*K$15,IF(L61="V",$D61*L$15,0)))))*100</f>
        <v>7.5</v>
      </c>
      <c r="N61" s="102"/>
    </row>
    <row r="62" spans="1:14" x14ac:dyDescent="0.4">
      <c r="A62" s="99" t="s">
        <v>119</v>
      </c>
      <c r="B62" s="100" t="s">
        <v>6</v>
      </c>
      <c r="C62" s="101" t="str">
        <f>VLOOKUP($A62,[3]PERTANYAAN!$A$18:$E$71,3,0)</f>
        <v>Inisiatif</v>
      </c>
      <c r="D62" s="46">
        <f>VLOOKUP($A62,[3]PERTANYAAN!$A$18:$E$71,5,0)</f>
        <v>0.05</v>
      </c>
      <c r="E62" s="17"/>
      <c r="F62" s="16"/>
      <c r="G62" s="16"/>
      <c r="H62" s="102"/>
      <c r="I62" s="102"/>
      <c r="J62" s="102"/>
      <c r="K62" s="102"/>
      <c r="L62" s="102" t="s">
        <v>16</v>
      </c>
      <c r="M62" s="16">
        <f t="shared" si="2"/>
        <v>5</v>
      </c>
      <c r="N62" s="102"/>
    </row>
    <row r="63" spans="1:14" x14ac:dyDescent="0.4">
      <c r="A63" s="99" t="s">
        <v>120</v>
      </c>
      <c r="B63" s="100" t="s">
        <v>6</v>
      </c>
      <c r="C63" s="101" t="str">
        <f>VLOOKUP($A63,[3]PERTANYAAN!$A$18:$E$71,3,0)</f>
        <v>Adaptif</v>
      </c>
      <c r="D63" s="46">
        <f>VLOOKUP($A63,[3]PERTANYAAN!$A$18:$E$71,5,0)</f>
        <v>2.5000000000000001E-2</v>
      </c>
      <c r="E63" s="17"/>
      <c r="F63" s="16"/>
      <c r="G63" s="16"/>
      <c r="H63" s="102"/>
      <c r="I63" s="102"/>
      <c r="J63" s="102"/>
      <c r="K63" s="102" t="s">
        <v>16</v>
      </c>
      <c r="L63" s="102"/>
      <c r="M63" s="16">
        <f t="shared" si="2"/>
        <v>2.0000000000000004</v>
      </c>
      <c r="N63" s="102"/>
    </row>
    <row r="64" spans="1:14" x14ac:dyDescent="0.4">
      <c r="A64" s="92"/>
      <c r="B64" s="104"/>
      <c r="C64" s="103"/>
      <c r="D64" s="17"/>
      <c r="E64" s="17"/>
      <c r="F64" s="16"/>
      <c r="G64" s="16"/>
      <c r="H64" s="102"/>
      <c r="I64" s="102"/>
      <c r="J64" s="102"/>
      <c r="K64" s="102"/>
      <c r="L64" s="102"/>
      <c r="M64" s="16"/>
      <c r="N64" s="102"/>
    </row>
    <row r="65" spans="1:14" s="2" customFormat="1" x14ac:dyDescent="0.4">
      <c r="A65" s="3"/>
      <c r="B65" s="48" t="s">
        <v>100</v>
      </c>
      <c r="C65" s="49" t="s">
        <v>48</v>
      </c>
      <c r="D65" s="51">
        <f>SUM(D66:D68)</f>
        <v>0.05</v>
      </c>
      <c r="E65" s="51"/>
      <c r="F65" s="54"/>
      <c r="G65" s="54"/>
      <c r="H65" s="59"/>
      <c r="I65" s="59"/>
      <c r="J65" s="59"/>
      <c r="K65" s="59"/>
      <c r="L65" s="59"/>
      <c r="M65" s="54">
        <f>SUM(M66:M68)</f>
        <v>2.2000000000000002</v>
      </c>
      <c r="N65" s="59"/>
    </row>
    <row r="66" spans="1:14" x14ac:dyDescent="0.4">
      <c r="A66" s="99" t="s">
        <v>121</v>
      </c>
      <c r="B66" s="100" t="s">
        <v>6</v>
      </c>
      <c r="C66" s="101" t="str">
        <f>VLOOKUP($A66,[3]PERTANYAAN!$A$18:$E$71,3,0)</f>
        <v>Ekspektasi Salary (Mengukur Budget &amp; Skill)</v>
      </c>
      <c r="D66" s="46">
        <f>VLOOKUP($A66,[3]PERTANYAAN!$A$18:$E$71,5,0)</f>
        <v>0.04</v>
      </c>
      <c r="E66" s="17"/>
      <c r="F66" s="16"/>
      <c r="G66" s="16"/>
      <c r="H66" s="102"/>
      <c r="I66" s="102" t="s">
        <v>16</v>
      </c>
      <c r="J66" s="102"/>
      <c r="K66" s="102"/>
      <c r="L66" s="102"/>
      <c r="M66" s="16">
        <f t="shared" ref="M66:M67" si="3">IF(H66="V",$D66*H$15,IF(I66="V",$D66*I$15,IF(J66="V",$D66*J$15,IF(K66="V",$D66*K$15,IF(L66="V",$D66*L$15,0)))))*100</f>
        <v>1.6</v>
      </c>
      <c r="N66" s="102" t="s">
        <v>232</v>
      </c>
    </row>
    <row r="67" spans="1:14" x14ac:dyDescent="0.4">
      <c r="A67" s="99" t="s">
        <v>122</v>
      </c>
      <c r="B67" s="100" t="s">
        <v>6</v>
      </c>
      <c r="C67" s="101" t="str">
        <f>VLOOKUP($A67,[3]PERTANYAAN!$A$18:$E$71,3,0)</f>
        <v>Tujuan Karir</v>
      </c>
      <c r="D67" s="46">
        <f>VLOOKUP($A67,[3]PERTANYAAN!$A$18:$E$71,5,0)</f>
        <v>0.01</v>
      </c>
      <c r="E67" s="17"/>
      <c r="F67" s="16"/>
      <c r="G67" s="16"/>
      <c r="H67" s="102"/>
      <c r="I67" s="102"/>
      <c r="J67" s="102" t="s">
        <v>16</v>
      </c>
      <c r="K67" s="102"/>
      <c r="L67" s="102"/>
      <c r="M67" s="16">
        <f t="shared" si="3"/>
        <v>0.6</v>
      </c>
      <c r="N67" s="102" t="s">
        <v>233</v>
      </c>
    </row>
    <row r="68" spans="1:14" x14ac:dyDescent="0.4">
      <c r="A68" s="99"/>
      <c r="B68" s="104"/>
      <c r="C68" s="103"/>
      <c r="D68" s="17"/>
      <c r="E68" s="17"/>
      <c r="F68" s="16"/>
      <c r="G68" s="16"/>
      <c r="H68" s="102"/>
      <c r="I68" s="102"/>
      <c r="J68" s="102"/>
      <c r="K68" s="102"/>
      <c r="L68" s="102"/>
      <c r="M68" s="16"/>
      <c r="N68" s="102"/>
    </row>
    <row r="69" spans="1:14" s="2" customFormat="1" x14ac:dyDescent="0.4">
      <c r="A69" s="3"/>
      <c r="B69" s="48" t="s">
        <v>101</v>
      </c>
      <c r="C69" s="49" t="s">
        <v>134</v>
      </c>
      <c r="D69" s="51">
        <f>SUM(D70:D70)</f>
        <v>0.05</v>
      </c>
      <c r="E69" s="51"/>
      <c r="F69" s="54"/>
      <c r="G69" s="54"/>
      <c r="H69" s="59"/>
      <c r="I69" s="59"/>
      <c r="J69" s="59"/>
      <c r="K69" s="59"/>
      <c r="L69" s="59"/>
      <c r="M69" s="54">
        <f>SUM(M70)</f>
        <v>0</v>
      </c>
      <c r="N69" s="59"/>
    </row>
    <row r="70" spans="1:14" x14ac:dyDescent="0.4">
      <c r="A70" s="99" t="s">
        <v>123</v>
      </c>
      <c r="B70" s="100" t="s">
        <v>6</v>
      </c>
      <c r="C70" s="101" t="str">
        <f>VLOOKUP($A70,[3]PERTANYAAN!$A$18:$E$71,3,0)</f>
        <v>Pertanyaan Spesifik User</v>
      </c>
      <c r="D70" s="46">
        <f>VLOOKUP($A70,[3]PERTANYAAN!$A$18:$E$71,5,0)</f>
        <v>0.05</v>
      </c>
      <c r="E70" s="17"/>
      <c r="F70" s="16"/>
      <c r="G70" s="16"/>
      <c r="H70" s="102"/>
      <c r="I70" s="102"/>
      <c r="J70" s="102"/>
      <c r="K70" s="102"/>
      <c r="L70" s="102"/>
      <c r="M70" s="16">
        <f t="shared" ref="M70" si="4">IF(H70="V",$D70*H$15,IF(I70="V",$D70*I$15,IF(J70="V",$D70*J$15,IF(K70="V",$D70*K$15,IF(L70="V",$D70*L$15,0)))))*100</f>
        <v>0</v>
      </c>
      <c r="N70" s="102"/>
    </row>
    <row r="71" spans="1:14" x14ac:dyDescent="0.4">
      <c r="B71" s="105"/>
      <c r="C71" s="106"/>
      <c r="D71" s="22"/>
      <c r="E71" s="22"/>
      <c r="F71" s="21"/>
      <c r="G71" s="21"/>
      <c r="H71" s="107"/>
      <c r="I71" s="107"/>
      <c r="J71" s="107"/>
      <c r="K71" s="107"/>
      <c r="L71" s="107"/>
      <c r="M71" s="21"/>
      <c r="N71" s="107"/>
    </row>
    <row r="73" spans="1:14" ht="24.65" customHeight="1" x14ac:dyDescent="0.4">
      <c r="A73" s="94" t="s">
        <v>186</v>
      </c>
      <c r="C73" s="108" t="s">
        <v>187</v>
      </c>
      <c r="N73" s="108" t="s">
        <v>234</v>
      </c>
    </row>
    <row r="74" spans="1:14" x14ac:dyDescent="0.4">
      <c r="C74" s="108"/>
      <c r="N74" s="108"/>
    </row>
    <row r="76" spans="1:14" x14ac:dyDescent="0.4">
      <c r="A76" s="94" t="s">
        <v>189</v>
      </c>
      <c r="C76" s="108" t="s">
        <v>190</v>
      </c>
      <c r="N76" s="108" t="s">
        <v>235</v>
      </c>
    </row>
    <row r="77" spans="1:14" ht="37.85" customHeight="1" x14ac:dyDescent="0.4">
      <c r="C77" s="108"/>
      <c r="N77" s="108"/>
    </row>
  </sheetData>
  <mergeCells count="12">
    <mergeCell ref="M13:M14"/>
    <mergeCell ref="N13:N14"/>
    <mergeCell ref="C73:C74"/>
    <mergeCell ref="N73:N74"/>
    <mergeCell ref="C76:C77"/>
    <mergeCell ref="N76:N77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01EB-E635-4E27-B278-03AC648114E9}">
  <sheetPr>
    <tabColor rgb="FF92D050"/>
  </sheetPr>
  <dimension ref="A1:N78"/>
  <sheetViews>
    <sheetView zoomScaleNormal="100" workbookViewId="0">
      <pane xSplit="1" ySplit="14" topLeftCell="B45" activePane="bottomRight" state="frozen"/>
      <selection activeCell="J70" sqref="J70"/>
      <selection pane="topRight" activeCell="J70" sqref="J70"/>
      <selection pane="bottomLeft" activeCell="J70" sqref="J70"/>
      <selection pane="bottomRight" activeCell="J70" sqref="J70"/>
    </sheetView>
  </sheetViews>
  <sheetFormatPr defaultRowHeight="14.6" outlineLevelRow="1" x14ac:dyDescent="0.4"/>
  <cols>
    <col min="1" max="1" width="17.69140625" customWidth="1"/>
    <col min="2" max="2" width="4.3828125" style="1" bestFit="1" customWidth="1"/>
    <col min="3" max="3" width="40.15234375" bestFit="1" customWidth="1"/>
    <col min="4" max="4" width="9.15234375" style="5"/>
    <col min="5" max="5" width="1.69140625" style="5" customWidth="1"/>
    <col min="6" max="7" width="9.15234375" style="4"/>
    <col min="8" max="12" width="9.15234375" style="7"/>
    <col min="13" max="13" width="9.15234375" style="4"/>
    <col min="14" max="14" width="16.84375" customWidth="1"/>
  </cols>
  <sheetData>
    <row r="1" spans="1:14" x14ac:dyDescent="0.4">
      <c r="A1" s="2" t="s">
        <v>125</v>
      </c>
    </row>
    <row r="2" spans="1:14" x14ac:dyDescent="0.4">
      <c r="A2" s="2" t="s">
        <v>0</v>
      </c>
    </row>
    <row r="5" spans="1:14" x14ac:dyDescent="0.4">
      <c r="A5" s="2" t="s">
        <v>1</v>
      </c>
      <c r="B5" s="1" t="s">
        <v>29</v>
      </c>
      <c r="C5" s="2" t="s">
        <v>145</v>
      </c>
    </row>
    <row r="6" spans="1:14" x14ac:dyDescent="0.4">
      <c r="A6" s="2" t="s">
        <v>20</v>
      </c>
      <c r="B6" s="1" t="s">
        <v>29</v>
      </c>
      <c r="C6" t="s">
        <v>31</v>
      </c>
    </row>
    <row r="7" spans="1:14" x14ac:dyDescent="0.4">
      <c r="A7" s="2" t="s">
        <v>32</v>
      </c>
      <c r="B7" s="1" t="s">
        <v>29</v>
      </c>
      <c r="C7" t="s">
        <v>33</v>
      </c>
    </row>
    <row r="8" spans="1:14" x14ac:dyDescent="0.4">
      <c r="A8" s="2" t="s">
        <v>34</v>
      </c>
      <c r="B8" s="1" t="s">
        <v>29</v>
      </c>
      <c r="C8" t="s">
        <v>35</v>
      </c>
    </row>
    <row r="9" spans="1:14" x14ac:dyDescent="0.4">
      <c r="A9" s="2" t="s">
        <v>28</v>
      </c>
      <c r="B9" s="1" t="s">
        <v>29</v>
      </c>
      <c r="C9" t="s">
        <v>83</v>
      </c>
    </row>
    <row r="10" spans="1:14" x14ac:dyDescent="0.4">
      <c r="A10" s="2" t="s">
        <v>38</v>
      </c>
      <c r="B10" s="1" t="s">
        <v>29</v>
      </c>
      <c r="C10" s="2" t="s">
        <v>88</v>
      </c>
      <c r="D10" s="6" t="s">
        <v>92</v>
      </c>
    </row>
    <row r="11" spans="1:14" x14ac:dyDescent="0.4">
      <c r="A11" s="2" t="s">
        <v>67</v>
      </c>
      <c r="B11" s="1" t="s">
        <v>29</v>
      </c>
      <c r="C11" s="24">
        <f>M16</f>
        <v>79.7</v>
      </c>
    </row>
    <row r="13" spans="1:14" s="2" customFormat="1" x14ac:dyDescent="0.4">
      <c r="A13" s="67" t="s">
        <v>124</v>
      </c>
      <c r="B13" s="68" t="s">
        <v>2</v>
      </c>
      <c r="C13" s="68" t="s">
        <v>3</v>
      </c>
      <c r="D13" s="70" t="s">
        <v>19</v>
      </c>
      <c r="E13" s="42"/>
      <c r="F13" s="65" t="s">
        <v>18</v>
      </c>
      <c r="G13" s="65"/>
      <c r="H13" s="68" t="s">
        <v>37</v>
      </c>
      <c r="I13" s="68"/>
      <c r="J13" s="68"/>
      <c r="K13" s="68"/>
      <c r="L13" s="68"/>
      <c r="M13" s="65" t="s">
        <v>17</v>
      </c>
      <c r="N13" s="66" t="s">
        <v>61</v>
      </c>
    </row>
    <row r="14" spans="1:14" s="2" customFormat="1" x14ac:dyDescent="0.4">
      <c r="A14" s="67"/>
      <c r="B14" s="68"/>
      <c r="C14" s="69"/>
      <c r="D14" s="71"/>
      <c r="E14" s="44"/>
      <c r="F14" s="43" t="s">
        <v>14</v>
      </c>
      <c r="G14" s="43" t="s">
        <v>15</v>
      </c>
      <c r="H14" s="41" t="s">
        <v>39</v>
      </c>
      <c r="I14" s="41" t="s">
        <v>40</v>
      </c>
      <c r="J14" s="41" t="s">
        <v>41</v>
      </c>
      <c r="K14" s="41" t="s">
        <v>42</v>
      </c>
      <c r="L14" s="41" t="s">
        <v>43</v>
      </c>
      <c r="M14" s="65"/>
      <c r="N14" s="66"/>
    </row>
    <row r="15" spans="1:14" s="2" customFormat="1" x14ac:dyDescent="0.4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4">
      <c r="A16" s="3"/>
      <c r="B16" s="39"/>
      <c r="C16" s="63" t="s">
        <v>65</v>
      </c>
      <c r="D16" s="39"/>
      <c r="E16" s="39"/>
      <c r="F16" s="61"/>
      <c r="G16" s="61"/>
      <c r="H16" s="39"/>
      <c r="I16" s="39"/>
      <c r="J16" s="39"/>
      <c r="K16" s="39"/>
      <c r="L16" s="39"/>
      <c r="M16" s="40">
        <f>M17+M21+M27+M43+M60+M65+M69</f>
        <v>79.7</v>
      </c>
      <c r="N16" s="35"/>
    </row>
    <row r="17" spans="1:14" x14ac:dyDescent="0.4">
      <c r="B17" s="48" t="s">
        <v>66</v>
      </c>
      <c r="C17" s="49" t="s">
        <v>8</v>
      </c>
      <c r="D17" s="51">
        <f>SUM(D18:D19)</f>
        <v>0.1</v>
      </c>
      <c r="E17" s="51"/>
      <c r="F17" s="54"/>
      <c r="G17" s="54"/>
      <c r="H17" s="53"/>
      <c r="I17" s="53"/>
      <c r="J17" s="53"/>
      <c r="K17" s="53"/>
      <c r="L17" s="53"/>
      <c r="M17" s="54">
        <f>SUM(M18:M20)</f>
        <v>6</v>
      </c>
      <c r="N17" s="55"/>
    </row>
    <row r="18" spans="1:14" x14ac:dyDescent="0.4">
      <c r="A18" s="62" t="s">
        <v>102</v>
      </c>
      <c r="B18" s="18">
        <v>1</v>
      </c>
      <c r="C18" s="45" t="str">
        <f>VLOOKUP($A18,PERTANYAAN!$A$18:$E$71,3,0)</f>
        <v>Pengalaman di dalam Daniswara Group</v>
      </c>
      <c r="D18" s="46">
        <f>VLOOKUP($A18,PERTANYAAN!$A$18:$E$71,5,0)</f>
        <v>0.06</v>
      </c>
      <c r="E18" s="17"/>
      <c r="F18" s="16" t="s">
        <v>16</v>
      </c>
      <c r="G18" s="16"/>
      <c r="H18" s="11"/>
      <c r="I18" s="11"/>
      <c r="J18" s="11"/>
      <c r="K18" s="11"/>
      <c r="L18" s="11"/>
      <c r="M18" s="16">
        <f>IF(F18="V",D18*100,0)</f>
        <v>6</v>
      </c>
      <c r="N18" s="15"/>
    </row>
    <row r="19" spans="1:14" x14ac:dyDescent="0.4">
      <c r="A19" s="62" t="s">
        <v>103</v>
      </c>
      <c r="B19" s="18">
        <f>B18+1</f>
        <v>2</v>
      </c>
      <c r="C19" s="45" t="str">
        <f>VLOOKUP($A19,PERTANYAAN!$A$18:$E$71,3,0)</f>
        <v>Pengalaman di luar Daniswara Group</v>
      </c>
      <c r="D19" s="46">
        <f>VLOOKUP($A19,PERTANYAAN!$A$18:$E$71,5,0)</f>
        <v>0.04</v>
      </c>
      <c r="E19" s="17"/>
      <c r="F19" s="16"/>
      <c r="G19" s="16"/>
      <c r="H19" s="11"/>
      <c r="I19" s="11"/>
      <c r="J19" s="11"/>
      <c r="K19" s="11"/>
      <c r="L19" s="11"/>
      <c r="M19" s="16">
        <f>IF(F19="V",D19*100,0)</f>
        <v>0</v>
      </c>
      <c r="N19" s="15"/>
    </row>
    <row r="20" spans="1:14" x14ac:dyDescent="0.4">
      <c r="A20" s="1"/>
      <c r="B20" s="14"/>
      <c r="C20" s="15"/>
      <c r="D20" s="17"/>
      <c r="E20" s="17"/>
      <c r="F20" s="16"/>
      <c r="G20" s="16"/>
      <c r="H20" s="11"/>
      <c r="I20" s="11"/>
      <c r="J20" s="11"/>
      <c r="K20" s="11"/>
      <c r="L20" s="11"/>
      <c r="M20" s="16"/>
      <c r="N20" s="15"/>
    </row>
    <row r="21" spans="1:14" x14ac:dyDescent="0.4">
      <c r="A21" s="1"/>
      <c r="B21" s="48" t="s">
        <v>42</v>
      </c>
      <c r="C21" s="49" t="s">
        <v>9</v>
      </c>
      <c r="D21" s="51">
        <f>SUM(D22:D25)</f>
        <v>0.05</v>
      </c>
      <c r="E21" s="51"/>
      <c r="F21" s="54"/>
      <c r="G21" s="54"/>
      <c r="H21" s="53"/>
      <c r="I21" s="53"/>
      <c r="J21" s="53"/>
      <c r="K21" s="53"/>
      <c r="L21" s="53"/>
      <c r="M21" s="54">
        <f>SUM(M22:M25)</f>
        <v>5</v>
      </c>
      <c r="N21" s="55"/>
    </row>
    <row r="22" spans="1:14" x14ac:dyDescent="0.4">
      <c r="A22" s="62" t="s">
        <v>104</v>
      </c>
      <c r="B22" s="18">
        <v>1</v>
      </c>
      <c r="C22" s="45" t="str">
        <f>VLOOKUP($A22,PERTANYAAN!$A$18:$E$71,3,0)</f>
        <v>Identitas (KTP &amp; KK)</v>
      </c>
      <c r="D22" s="46">
        <f>VLOOKUP($A22,PERTANYAAN!$A$18:$E$71,5,0)</f>
        <v>0.01</v>
      </c>
      <c r="E22" s="17"/>
      <c r="F22" s="16" t="s">
        <v>16</v>
      </c>
      <c r="G22" s="16"/>
      <c r="H22" s="11"/>
      <c r="I22" s="11"/>
      <c r="J22" s="11"/>
      <c r="K22" s="11"/>
      <c r="L22" s="11"/>
      <c r="M22" s="16">
        <f>IF(F22="V",D22*100,0)</f>
        <v>1</v>
      </c>
      <c r="N22" s="15"/>
    </row>
    <row r="23" spans="1:14" x14ac:dyDescent="0.4">
      <c r="A23" s="62" t="s">
        <v>105</v>
      </c>
      <c r="B23" s="18">
        <f>B22+1</f>
        <v>2</v>
      </c>
      <c r="C23" s="45" t="str">
        <f>VLOOKUP($A23,PERTANYAAN!$A$18:$E$71,3,0)</f>
        <v>SIM A (utk jabatan di Divisi Operasi)</v>
      </c>
      <c r="D23" s="46">
        <f>VLOOKUP($A23,PERTANYAAN!$A$18:$E$71,5,0)</f>
        <v>0.02</v>
      </c>
      <c r="E23" s="17"/>
      <c r="F23" s="16" t="s">
        <v>16</v>
      </c>
      <c r="G23" s="16"/>
      <c r="H23" s="11"/>
      <c r="I23" s="11"/>
      <c r="J23" s="11"/>
      <c r="K23" s="11"/>
      <c r="L23" s="11"/>
      <c r="M23" s="16">
        <f>IF(F23="V",D23*100,0)</f>
        <v>2</v>
      </c>
      <c r="N23" s="15"/>
    </row>
    <row r="24" spans="1:14" x14ac:dyDescent="0.4">
      <c r="A24" s="62" t="s">
        <v>106</v>
      </c>
      <c r="B24" s="18">
        <f t="shared" ref="B24:B25" si="0">B23+1</f>
        <v>3</v>
      </c>
      <c r="C24" s="45" t="str">
        <f>VLOOKUP($A24,PERTANYAAN!$A$18:$E$71,3,0)</f>
        <v>SIM C</v>
      </c>
      <c r="D24" s="46">
        <f>VLOOKUP($A24,PERTANYAAN!$A$18:$E$71,5,0)</f>
        <v>0.01</v>
      </c>
      <c r="E24" s="17"/>
      <c r="F24" s="16" t="s">
        <v>16</v>
      </c>
      <c r="G24" s="16"/>
      <c r="H24" s="11"/>
      <c r="I24" s="11"/>
      <c r="J24" s="11"/>
      <c r="K24" s="11"/>
      <c r="L24" s="11"/>
      <c r="M24" s="16">
        <f>IF(F24="V",D24*100,0)</f>
        <v>1</v>
      </c>
      <c r="N24" s="15"/>
    </row>
    <row r="25" spans="1:14" x14ac:dyDescent="0.4">
      <c r="A25" s="62" t="s">
        <v>107</v>
      </c>
      <c r="B25" s="18">
        <f t="shared" si="0"/>
        <v>4</v>
      </c>
      <c r="C25" s="45" t="str">
        <f>VLOOKUP($A25,PERTANYAAN!$A$18:$E$71,3,0)</f>
        <v>NPWP</v>
      </c>
      <c r="D25" s="46">
        <f>VLOOKUP($A25,PERTANYAAN!$A$18:$E$71,5,0)</f>
        <v>0.01</v>
      </c>
      <c r="E25" s="17"/>
      <c r="F25" s="16" t="s">
        <v>16</v>
      </c>
      <c r="G25" s="16"/>
      <c r="H25" s="11"/>
      <c r="I25" s="11"/>
      <c r="J25" s="11"/>
      <c r="K25" s="11"/>
      <c r="L25" s="11"/>
      <c r="M25" s="16">
        <f>IF(F25="V",D25*100,0)</f>
        <v>1</v>
      </c>
      <c r="N25" s="15"/>
    </row>
    <row r="26" spans="1:14" x14ac:dyDescent="0.4">
      <c r="A26" s="1"/>
      <c r="B26" s="14"/>
      <c r="C26" s="15"/>
      <c r="D26" s="17"/>
      <c r="E26" s="17"/>
      <c r="F26" s="16"/>
      <c r="G26" s="16"/>
      <c r="H26" s="11"/>
      <c r="I26" s="11"/>
      <c r="J26" s="11"/>
      <c r="K26" s="11"/>
      <c r="L26" s="11"/>
      <c r="M26" s="16"/>
      <c r="N26" s="15"/>
    </row>
    <row r="27" spans="1:14" x14ac:dyDescent="0.4">
      <c r="A27" s="1"/>
      <c r="B27" s="48" t="s">
        <v>97</v>
      </c>
      <c r="C27" s="49" t="s">
        <v>21</v>
      </c>
      <c r="D27" s="51">
        <f>D28</f>
        <v>0.35000000000000003</v>
      </c>
      <c r="E27" s="57"/>
      <c r="F27" s="60"/>
      <c r="G27" s="60"/>
      <c r="H27" s="53"/>
      <c r="I27" s="53"/>
      <c r="J27" s="53"/>
      <c r="K27" s="53"/>
      <c r="L27" s="53"/>
      <c r="M27" s="54">
        <f>M28</f>
        <v>29.5</v>
      </c>
      <c r="N27" s="55"/>
    </row>
    <row r="28" spans="1:14" x14ac:dyDescent="0.4">
      <c r="A28" s="62" t="s">
        <v>108</v>
      </c>
      <c r="B28" s="18">
        <v>1</v>
      </c>
      <c r="C28" s="45" t="str">
        <f>VLOOKUP($A28,PERTANYAAN!$A$18:$E$71,3,0)</f>
        <v>Operasi / Logistik</v>
      </c>
      <c r="D28" s="46">
        <f>VLOOKUP($A28,PERTANYAAN!$A$18:$E$71,5,0)</f>
        <v>0.35000000000000003</v>
      </c>
      <c r="E28" s="17"/>
      <c r="F28" s="16"/>
      <c r="G28" s="16"/>
      <c r="H28" s="11"/>
      <c r="I28" s="11"/>
      <c r="J28" s="11"/>
      <c r="K28" s="11"/>
      <c r="L28" s="11"/>
      <c r="M28" s="16">
        <f>SUM(M29:M33)</f>
        <v>29.5</v>
      </c>
      <c r="N28" s="15"/>
    </row>
    <row r="29" spans="1:14" x14ac:dyDescent="0.4">
      <c r="A29" s="62" t="s">
        <v>109</v>
      </c>
      <c r="B29" s="18" t="s">
        <v>6</v>
      </c>
      <c r="C29" s="45" t="str">
        <f>VLOOKUP($A29,PERTANYAAN!$A$18:$E$71,3,0)</f>
        <v>Skill Mengemudi</v>
      </c>
      <c r="D29" s="46">
        <f>VLOOKUP($A29,PERTANYAAN!$A$18:$E$71,5,0)</f>
        <v>0.15</v>
      </c>
      <c r="E29" s="17"/>
      <c r="F29" s="16"/>
      <c r="G29" s="16"/>
      <c r="H29" s="11"/>
      <c r="I29" s="11"/>
      <c r="J29" s="11"/>
      <c r="K29" s="11" t="s">
        <v>16</v>
      </c>
      <c r="L29" s="11"/>
      <c r="M29" s="16">
        <f>IF(H29="V",$D29*H$15,IF(I29="V",$D29*I$15,IF(J29="V",$D29*J$15,IF(K29="V",$D29*K$15,IF(L29="V",$D29*L$15,0)))))*100</f>
        <v>12</v>
      </c>
      <c r="N29" s="15"/>
    </row>
    <row r="30" spans="1:14" x14ac:dyDescent="0.4">
      <c r="A30" s="62" t="s">
        <v>110</v>
      </c>
      <c r="B30" s="18" t="s">
        <v>6</v>
      </c>
      <c r="C30" s="45" t="str">
        <f>VLOOKUP($A30,PERTANYAAN!$A$18:$E$71,3,0)</f>
        <v>Flow Administrasi Logistik</v>
      </c>
      <c r="D30" s="46">
        <f>VLOOKUP($A30,PERTANYAAN!$A$18:$E$71,5,0)</f>
        <v>0.1</v>
      </c>
      <c r="E30" s="17"/>
      <c r="F30" s="16"/>
      <c r="G30" s="16"/>
      <c r="H30" s="11"/>
      <c r="I30" s="11"/>
      <c r="J30" s="11"/>
      <c r="K30" s="11" t="s">
        <v>16</v>
      </c>
      <c r="L30" s="11"/>
      <c r="M30" s="16">
        <f t="shared" ref="M30:M32" si="1">IF(H30="V",$D30*H$15,IF(I30="V",$D30*I$15,IF(J30="V",$D30*J$15,IF(K30="V",$D30*K$15,IF(L30="V",$D30*L$15,0)))))*100</f>
        <v>8.0000000000000018</v>
      </c>
      <c r="N30" s="15"/>
    </row>
    <row r="31" spans="1:14" x14ac:dyDescent="0.4">
      <c r="A31" s="62" t="s">
        <v>111</v>
      </c>
      <c r="B31" s="18" t="s">
        <v>6</v>
      </c>
      <c r="C31" s="45" t="str">
        <f>VLOOKUP($A31,PERTANYAAN!$A$18:$E$71,3,0)</f>
        <v>Pengetahuan terkait logistik</v>
      </c>
      <c r="D31" s="46">
        <f>VLOOKUP($A31,PERTANYAAN!$A$18:$E$71,5,0)</f>
        <v>2.5000000000000001E-2</v>
      </c>
      <c r="E31" s="17"/>
      <c r="F31" s="16"/>
      <c r="G31" s="16"/>
      <c r="H31" s="11"/>
      <c r="I31" s="11"/>
      <c r="J31" s="11"/>
      <c r="K31" s="11" t="s">
        <v>16</v>
      </c>
      <c r="L31" s="11"/>
      <c r="M31" s="16">
        <f t="shared" si="1"/>
        <v>2.0000000000000004</v>
      </c>
      <c r="N31" s="15"/>
    </row>
    <row r="32" spans="1:14" x14ac:dyDescent="0.4">
      <c r="A32" s="62" t="s">
        <v>112</v>
      </c>
      <c r="B32" s="18" t="s">
        <v>6</v>
      </c>
      <c r="C32" s="45" t="str">
        <f>VLOOKUP($A32,PERTANYAAN!$A$18:$E$71,3,0)</f>
        <v>Pengalaman di Bongkar Muat</v>
      </c>
      <c r="D32" s="46">
        <f>VLOOKUP($A32,PERTANYAAN!$A$18:$E$71,5,0)</f>
        <v>7.4999999999999997E-2</v>
      </c>
      <c r="E32" s="17"/>
      <c r="F32" s="16"/>
      <c r="G32" s="16"/>
      <c r="H32" s="11"/>
      <c r="I32" s="11"/>
      <c r="J32" s="11"/>
      <c r="K32" s="11"/>
      <c r="L32" s="11" t="s">
        <v>16</v>
      </c>
      <c r="M32" s="16">
        <f t="shared" si="1"/>
        <v>7.5</v>
      </c>
      <c r="N32" s="15"/>
    </row>
    <row r="33" spans="1:14" x14ac:dyDescent="0.4">
      <c r="A33" s="1"/>
      <c r="B33" s="18"/>
      <c r="C33" s="15"/>
      <c r="D33" s="17"/>
      <c r="E33" s="17"/>
      <c r="F33" s="16"/>
      <c r="G33" s="16"/>
      <c r="H33" s="11"/>
      <c r="I33" s="11"/>
      <c r="J33" s="11"/>
      <c r="K33" s="11"/>
      <c r="L33" s="11"/>
      <c r="M33" s="16"/>
      <c r="N33" s="15"/>
    </row>
    <row r="34" spans="1:14" hidden="1" outlineLevel="1" x14ac:dyDescent="0.4">
      <c r="A34" s="1"/>
      <c r="B34" s="18">
        <f>B28+1</f>
        <v>2</v>
      </c>
      <c r="C34" s="15" t="s">
        <v>22</v>
      </c>
      <c r="D34" s="17">
        <f>SUM(D35:D37)</f>
        <v>0.35</v>
      </c>
      <c r="E34" s="17"/>
      <c r="F34" s="16"/>
      <c r="G34" s="16"/>
      <c r="H34" s="11"/>
      <c r="I34" s="11"/>
      <c r="J34" s="11"/>
      <c r="K34" s="11"/>
      <c r="L34" s="11"/>
      <c r="M34" s="16"/>
      <c r="N34" s="15"/>
    </row>
    <row r="35" spans="1:14" hidden="1" outlineLevel="1" x14ac:dyDescent="0.4">
      <c r="A35" s="1"/>
      <c r="B35" s="18" t="s">
        <v>6</v>
      </c>
      <c r="C35" s="15" t="s">
        <v>44</v>
      </c>
      <c r="D35" s="17">
        <v>0.15</v>
      </c>
      <c r="E35" s="17"/>
      <c r="F35" s="16"/>
      <c r="G35" s="16"/>
      <c r="H35" s="11"/>
      <c r="I35" s="11"/>
      <c r="J35" s="11"/>
      <c r="K35" s="11"/>
      <c r="L35" s="11"/>
      <c r="M35" s="16"/>
      <c r="N35" s="15"/>
    </row>
    <row r="36" spans="1:14" hidden="1" outlineLevel="1" x14ac:dyDescent="0.4">
      <c r="A36" s="1"/>
      <c r="B36" s="18" t="s">
        <v>6</v>
      </c>
      <c r="C36" s="15" t="s">
        <v>50</v>
      </c>
      <c r="D36" s="17">
        <v>0.2</v>
      </c>
      <c r="E36" s="17"/>
      <c r="F36" s="16"/>
      <c r="G36" s="16"/>
      <c r="H36" s="11"/>
      <c r="I36" s="11"/>
      <c r="J36" s="11"/>
      <c r="K36" s="11"/>
      <c r="L36" s="11"/>
      <c r="M36" s="16"/>
      <c r="N36" s="15"/>
    </row>
    <row r="37" spans="1:14" hidden="1" outlineLevel="1" x14ac:dyDescent="0.4">
      <c r="A37" s="1"/>
      <c r="B37" s="18"/>
      <c r="C37" s="15"/>
      <c r="D37" s="17"/>
      <c r="E37" s="17"/>
      <c r="F37" s="16"/>
      <c r="G37" s="16"/>
      <c r="H37" s="11"/>
      <c r="I37" s="11"/>
      <c r="J37" s="11"/>
      <c r="K37" s="11"/>
      <c r="L37" s="11"/>
      <c r="M37" s="16"/>
      <c r="N37" s="15"/>
    </row>
    <row r="38" spans="1:14" hidden="1" outlineLevel="1" x14ac:dyDescent="0.4">
      <c r="A38" s="1"/>
      <c r="B38" s="14">
        <v>3</v>
      </c>
      <c r="C38" s="15" t="s">
        <v>23</v>
      </c>
      <c r="D38" s="17"/>
      <c r="E38" s="17"/>
      <c r="F38" s="16"/>
      <c r="G38" s="16"/>
      <c r="H38" s="11"/>
      <c r="I38" s="11"/>
      <c r="J38" s="11"/>
      <c r="K38" s="11"/>
      <c r="L38" s="11"/>
      <c r="M38" s="16"/>
      <c r="N38" s="15"/>
    </row>
    <row r="39" spans="1:14" hidden="1" outlineLevel="1" x14ac:dyDescent="0.4">
      <c r="A39" s="1"/>
      <c r="B39" s="18" t="s">
        <v>6</v>
      </c>
      <c r="C39" s="15" t="s">
        <v>52</v>
      </c>
      <c r="D39" s="17"/>
      <c r="E39" s="17"/>
      <c r="F39" s="16"/>
      <c r="G39" s="16"/>
      <c r="H39" s="11"/>
      <c r="I39" s="11"/>
      <c r="J39" s="11"/>
      <c r="K39" s="11"/>
      <c r="L39" s="11"/>
      <c r="M39" s="16"/>
      <c r="N39" s="15"/>
    </row>
    <row r="40" spans="1:14" hidden="1" outlineLevel="1" x14ac:dyDescent="0.4">
      <c r="A40" s="1"/>
      <c r="B40" s="18" t="s">
        <v>6</v>
      </c>
      <c r="C40" s="15" t="s">
        <v>53</v>
      </c>
      <c r="D40" s="17"/>
      <c r="E40" s="17"/>
      <c r="F40" s="16"/>
      <c r="G40" s="16"/>
      <c r="H40" s="11"/>
      <c r="I40" s="11"/>
      <c r="J40" s="11"/>
      <c r="K40" s="11"/>
      <c r="L40" s="11"/>
      <c r="M40" s="16"/>
      <c r="N40" s="15"/>
    </row>
    <row r="41" spans="1:14" hidden="1" outlineLevel="1" x14ac:dyDescent="0.4">
      <c r="A41" s="1"/>
      <c r="B41" s="18" t="s">
        <v>6</v>
      </c>
      <c r="C41" s="15"/>
      <c r="D41" s="17"/>
      <c r="E41" s="17"/>
      <c r="F41" s="16"/>
      <c r="G41" s="16"/>
      <c r="H41" s="11"/>
      <c r="I41" s="11"/>
      <c r="J41" s="11"/>
      <c r="K41" s="11"/>
      <c r="L41" s="11"/>
      <c r="M41" s="16"/>
      <c r="N41" s="15"/>
    </row>
    <row r="42" spans="1:14" hidden="1" outlineLevel="1" x14ac:dyDescent="0.4">
      <c r="A42" s="1"/>
      <c r="B42" s="14"/>
      <c r="C42" s="15"/>
      <c r="D42" s="17"/>
      <c r="E42" s="17"/>
      <c r="F42" s="16"/>
      <c r="G42" s="16"/>
      <c r="H42" s="11"/>
      <c r="I42" s="11"/>
      <c r="J42" s="11"/>
      <c r="K42" s="11"/>
      <c r="L42" s="11"/>
      <c r="M42" s="16"/>
      <c r="N42" s="15"/>
    </row>
    <row r="43" spans="1:14" s="2" customFormat="1" collapsed="1" x14ac:dyDescent="0.4">
      <c r="A43" s="3"/>
      <c r="B43" s="48" t="s">
        <v>98</v>
      </c>
      <c r="C43" s="49" t="s">
        <v>24</v>
      </c>
      <c r="D43" s="51">
        <f>D44</f>
        <v>0.25</v>
      </c>
      <c r="E43" s="51"/>
      <c r="F43" s="54"/>
      <c r="G43" s="54"/>
      <c r="H43" s="59"/>
      <c r="I43" s="59"/>
      <c r="J43" s="59"/>
      <c r="K43" s="59"/>
      <c r="L43" s="59"/>
      <c r="M43" s="54">
        <f>M44</f>
        <v>18.500000000000004</v>
      </c>
      <c r="N43" s="49"/>
    </row>
    <row r="44" spans="1:14" x14ac:dyDescent="0.4">
      <c r="A44" s="1" t="s">
        <v>113</v>
      </c>
      <c r="B44" s="14">
        <v>1</v>
      </c>
      <c r="C44" s="45" t="str">
        <f>VLOOKUP($A44,PERTANYAAN!$A$18:$E$71,3,0)</f>
        <v>Staff</v>
      </c>
      <c r="D44" s="46">
        <f>VLOOKUP($A44,PERTANYAAN!$A$18:$E$71,5,0)</f>
        <v>0.25</v>
      </c>
      <c r="E44" s="17"/>
      <c r="F44" s="16"/>
      <c r="G44" s="16"/>
      <c r="H44" s="11"/>
      <c r="I44" s="11"/>
      <c r="J44" s="11"/>
      <c r="K44" s="11"/>
      <c r="L44" s="11"/>
      <c r="M44" s="16">
        <f>SUM(M45:M48)</f>
        <v>18.500000000000004</v>
      </c>
      <c r="N44" s="15"/>
    </row>
    <row r="45" spans="1:14" x14ac:dyDescent="0.4">
      <c r="A45" s="62" t="s">
        <v>114</v>
      </c>
      <c r="B45" s="18" t="s">
        <v>6</v>
      </c>
      <c r="C45" s="45" t="str">
        <f>VLOOKUP($A45,PERTANYAAN!$A$18:$E$71,3,0)</f>
        <v>Kepemimpinan</v>
      </c>
      <c r="D45" s="46">
        <f>VLOOKUP($A45,PERTANYAAN!$A$18:$E$71,5,0)</f>
        <v>2.5000000000000001E-2</v>
      </c>
      <c r="E45" s="17"/>
      <c r="F45" s="16"/>
      <c r="G45" s="16"/>
      <c r="H45" s="11"/>
      <c r="I45" s="11"/>
      <c r="J45" s="11"/>
      <c r="K45" s="11" t="s">
        <v>16</v>
      </c>
      <c r="L45" s="11"/>
      <c r="M45" s="16">
        <f>IF(H45="V",$D45*H$15,IF(I45="V",$D45*I$15,IF(J45="V",$D45*J$15,IF(K45="V",$D45*K$15,IF(L45="V",$D45*L$15,0)))))*100</f>
        <v>2.0000000000000004</v>
      </c>
      <c r="N45" s="15"/>
    </row>
    <row r="46" spans="1:14" x14ac:dyDescent="0.4">
      <c r="A46" s="62" t="s">
        <v>115</v>
      </c>
      <c r="B46" s="18" t="s">
        <v>6</v>
      </c>
      <c r="C46" s="45" t="str">
        <f>VLOOKUP($A46,PERTANYAAN!$A$18:$E$71,3,0)</f>
        <v>Komunikasi</v>
      </c>
      <c r="D46" s="46">
        <f>VLOOKUP($A46,PERTANYAAN!$A$18:$E$71,5,0)</f>
        <v>0.1</v>
      </c>
      <c r="E46" s="17"/>
      <c r="F46" s="16"/>
      <c r="G46" s="16"/>
      <c r="H46" s="11"/>
      <c r="I46" s="11"/>
      <c r="J46" s="11"/>
      <c r="K46" s="11" t="s">
        <v>16</v>
      </c>
      <c r="L46" s="11"/>
      <c r="M46" s="16">
        <f>IF(H46="V",$D46*H$15,IF(I46="V",$D46*I$15,IF(J46="V",$D46*J$15,IF(K46="V",$D46*K$15,IF(L46="V",$D46*L$15,0)))))*100</f>
        <v>8.0000000000000018</v>
      </c>
      <c r="N46" s="15"/>
    </row>
    <row r="47" spans="1:14" x14ac:dyDescent="0.4">
      <c r="A47" s="62" t="s">
        <v>116</v>
      </c>
      <c r="B47" s="18" t="s">
        <v>6</v>
      </c>
      <c r="C47" s="45" t="str">
        <f>VLOOKUP($A47,PERTANYAAN!$A$18:$E$71,3,0)</f>
        <v>Patuh pada Peraturan / Commitment</v>
      </c>
      <c r="D47" s="46">
        <f>VLOOKUP($A47,PERTANYAAN!$A$18:$E$71,5,0)</f>
        <v>0.05</v>
      </c>
      <c r="E47" s="17"/>
      <c r="F47" s="16"/>
      <c r="G47" s="16"/>
      <c r="H47" s="11"/>
      <c r="I47" s="11"/>
      <c r="J47" s="11"/>
      <c r="K47" s="11" t="s">
        <v>16</v>
      </c>
      <c r="L47" s="11"/>
      <c r="M47" s="16">
        <f>IF(H47="V",$D47*H$15,IF(I47="V",$D47*I$15,IF(J47="V",$D47*J$15,IF(K47="V",$D47*K$15,IF(L47="V",$D47*L$15,0)))))*100</f>
        <v>4.0000000000000009</v>
      </c>
      <c r="N47" s="15"/>
    </row>
    <row r="48" spans="1:14" x14ac:dyDescent="0.4">
      <c r="A48" s="62" t="s">
        <v>117</v>
      </c>
      <c r="B48" s="18" t="s">
        <v>6</v>
      </c>
      <c r="C48" s="45" t="str">
        <f>VLOOKUP($A48,PERTANYAAN!$A$18:$E$71,3,0)</f>
        <v>Determinasi thd tekanan</v>
      </c>
      <c r="D48" s="46">
        <f>VLOOKUP($A48,PERTANYAAN!$A$18:$E$71,5,0)</f>
        <v>7.4999999999999997E-2</v>
      </c>
      <c r="E48" s="17"/>
      <c r="F48" s="16"/>
      <c r="G48" s="16"/>
      <c r="H48" s="11"/>
      <c r="I48" s="11"/>
      <c r="J48" s="11" t="s">
        <v>16</v>
      </c>
      <c r="K48" s="11"/>
      <c r="L48" s="11"/>
      <c r="M48" s="16">
        <f>IF(H48="V",$D48*H$15,IF(I48="V",$D48*I$15,IF(J48="V",$D48*J$15,IF(K48="V",$D48*K$15,IF(L48="V",$D48*L$15,0)))))*100</f>
        <v>4.5</v>
      </c>
      <c r="N48" s="15"/>
    </row>
    <row r="49" spans="1:14" x14ac:dyDescent="0.4">
      <c r="A49" s="1"/>
      <c r="B49" s="18"/>
      <c r="C49" s="15"/>
      <c r="D49" s="17"/>
      <c r="E49" s="17"/>
      <c r="F49" s="16"/>
      <c r="G49" s="16"/>
      <c r="H49" s="11"/>
      <c r="I49" s="11"/>
      <c r="J49" s="11"/>
      <c r="K49" s="11"/>
      <c r="L49" s="11"/>
      <c r="M49" s="16"/>
      <c r="N49" s="15"/>
    </row>
    <row r="50" spans="1:14" hidden="1" outlineLevel="1" x14ac:dyDescent="0.4">
      <c r="A50" s="1"/>
      <c r="B50" s="14">
        <v>2</v>
      </c>
      <c r="C50" s="15" t="s">
        <v>26</v>
      </c>
      <c r="D50" s="17"/>
      <c r="E50" s="17"/>
      <c r="F50" s="16"/>
      <c r="G50" s="16"/>
      <c r="H50" s="11"/>
      <c r="I50" s="11"/>
      <c r="J50" s="11"/>
      <c r="K50" s="11"/>
      <c r="L50" s="11"/>
      <c r="M50" s="16"/>
      <c r="N50" s="15"/>
    </row>
    <row r="51" spans="1:14" hidden="1" outlineLevel="1" x14ac:dyDescent="0.4">
      <c r="A51" s="1"/>
      <c r="B51" s="18" t="s">
        <v>6</v>
      </c>
      <c r="C51" s="15" t="s">
        <v>54</v>
      </c>
      <c r="D51" s="17"/>
      <c r="E51" s="17"/>
      <c r="F51" s="16"/>
      <c r="G51" s="16"/>
      <c r="H51" s="11"/>
      <c r="I51" s="11"/>
      <c r="J51" s="11"/>
      <c r="K51" s="11"/>
      <c r="L51" s="11"/>
      <c r="M51" s="16"/>
      <c r="N51" s="15"/>
    </row>
    <row r="52" spans="1:14" hidden="1" outlineLevel="1" x14ac:dyDescent="0.4">
      <c r="A52" s="1"/>
      <c r="B52" s="18" t="s">
        <v>6</v>
      </c>
      <c r="C52" s="15" t="s">
        <v>55</v>
      </c>
      <c r="D52" s="17"/>
      <c r="E52" s="17"/>
      <c r="F52" s="16"/>
      <c r="G52" s="16"/>
      <c r="H52" s="11"/>
      <c r="I52" s="11"/>
      <c r="J52" s="11"/>
      <c r="K52" s="11"/>
      <c r="L52" s="11"/>
      <c r="M52" s="16"/>
      <c r="N52" s="15"/>
    </row>
    <row r="53" spans="1:14" hidden="1" outlineLevel="1" x14ac:dyDescent="0.4">
      <c r="A53" s="1"/>
      <c r="B53" s="18" t="s">
        <v>6</v>
      </c>
      <c r="C53" s="15" t="s">
        <v>56</v>
      </c>
      <c r="D53" s="17"/>
      <c r="E53" s="17"/>
      <c r="F53" s="16"/>
      <c r="G53" s="16"/>
      <c r="H53" s="11"/>
      <c r="I53" s="11"/>
      <c r="J53" s="11"/>
      <c r="K53" s="11"/>
      <c r="L53" s="11"/>
      <c r="M53" s="16"/>
      <c r="N53" s="15"/>
    </row>
    <row r="54" spans="1:14" hidden="1" outlineLevel="1" x14ac:dyDescent="0.4">
      <c r="A54" s="1"/>
      <c r="B54" s="18"/>
      <c r="C54" s="15"/>
      <c r="D54" s="17"/>
      <c r="E54" s="17"/>
      <c r="F54" s="16"/>
      <c r="G54" s="16"/>
      <c r="H54" s="11"/>
      <c r="I54" s="11"/>
      <c r="J54" s="11"/>
      <c r="K54" s="11"/>
      <c r="L54" s="11"/>
      <c r="M54" s="16"/>
      <c r="N54" s="15"/>
    </row>
    <row r="55" spans="1:14" hidden="1" outlineLevel="1" x14ac:dyDescent="0.4">
      <c r="A55" s="1"/>
      <c r="B55" s="14">
        <v>3</v>
      </c>
      <c r="C55" s="15" t="s">
        <v>27</v>
      </c>
      <c r="D55" s="17"/>
      <c r="E55" s="17"/>
      <c r="F55" s="16"/>
      <c r="G55" s="16"/>
      <c r="H55" s="11"/>
      <c r="I55" s="11"/>
      <c r="J55" s="11"/>
      <c r="K55" s="11"/>
      <c r="L55" s="11"/>
      <c r="M55" s="16"/>
      <c r="N55" s="15"/>
    </row>
    <row r="56" spans="1:14" hidden="1" outlineLevel="1" x14ac:dyDescent="0.4">
      <c r="A56" s="1"/>
      <c r="B56" s="18" t="s">
        <v>6</v>
      </c>
      <c r="C56" s="15" t="s">
        <v>54</v>
      </c>
      <c r="D56" s="17"/>
      <c r="E56" s="17"/>
      <c r="F56" s="16"/>
      <c r="G56" s="16"/>
      <c r="H56" s="11"/>
      <c r="I56" s="11"/>
      <c r="J56" s="11"/>
      <c r="K56" s="11"/>
      <c r="L56" s="11"/>
      <c r="M56" s="16"/>
      <c r="N56" s="15"/>
    </row>
    <row r="57" spans="1:14" hidden="1" outlineLevel="1" x14ac:dyDescent="0.4">
      <c r="A57" s="1"/>
      <c r="B57" s="18" t="s">
        <v>6</v>
      </c>
      <c r="C57" s="15" t="s">
        <v>56</v>
      </c>
      <c r="D57" s="17"/>
      <c r="E57" s="17"/>
      <c r="F57" s="16"/>
      <c r="G57" s="16"/>
      <c r="H57" s="11"/>
      <c r="I57" s="11"/>
      <c r="J57" s="11"/>
      <c r="K57" s="11"/>
      <c r="L57" s="11"/>
      <c r="M57" s="16"/>
      <c r="N57" s="15"/>
    </row>
    <row r="58" spans="1:14" hidden="1" outlineLevel="1" x14ac:dyDescent="0.4">
      <c r="A58" s="1"/>
      <c r="B58" s="18" t="s">
        <v>6</v>
      </c>
      <c r="C58" s="15" t="s">
        <v>57</v>
      </c>
      <c r="D58" s="17"/>
      <c r="E58" s="17"/>
      <c r="F58" s="16"/>
      <c r="G58" s="16"/>
      <c r="H58" s="11"/>
      <c r="I58" s="11"/>
      <c r="J58" s="11"/>
      <c r="K58" s="11"/>
      <c r="L58" s="11"/>
      <c r="M58" s="16"/>
      <c r="N58" s="15"/>
    </row>
    <row r="59" spans="1:14" hidden="1" outlineLevel="1" x14ac:dyDescent="0.4">
      <c r="A59" s="1"/>
      <c r="B59" s="14"/>
      <c r="C59" s="15"/>
      <c r="D59" s="17"/>
      <c r="E59" s="17"/>
      <c r="F59" s="16"/>
      <c r="G59" s="16"/>
      <c r="H59" s="11"/>
      <c r="I59" s="11"/>
      <c r="J59" s="11"/>
      <c r="K59" s="11"/>
      <c r="L59" s="11"/>
      <c r="M59" s="16"/>
      <c r="N59" s="15"/>
    </row>
    <row r="60" spans="1:14" s="2" customFormat="1" collapsed="1" x14ac:dyDescent="0.4">
      <c r="A60" s="3"/>
      <c r="B60" s="48" t="s">
        <v>99</v>
      </c>
      <c r="C60" s="49" t="s">
        <v>46</v>
      </c>
      <c r="D60" s="51">
        <f>SUM(D61:D64)</f>
        <v>0.15</v>
      </c>
      <c r="E60" s="51"/>
      <c r="F60" s="54"/>
      <c r="G60" s="54"/>
      <c r="H60" s="59"/>
      <c r="I60" s="59"/>
      <c r="J60" s="59"/>
      <c r="K60" s="59"/>
      <c r="L60" s="59"/>
      <c r="M60" s="54">
        <f>SUM(M61:M64)</f>
        <v>13.5</v>
      </c>
      <c r="N60" s="49"/>
    </row>
    <row r="61" spans="1:14" x14ac:dyDescent="0.4">
      <c r="A61" s="62" t="s">
        <v>118</v>
      </c>
      <c r="B61" s="18" t="s">
        <v>6</v>
      </c>
      <c r="C61" s="45" t="str">
        <f>VLOOKUP($A61,PERTANYAAN!$A$18:$E$71,3,0)</f>
        <v>Antusiasme / Keinginan bergabung</v>
      </c>
      <c r="D61" s="46">
        <f>VLOOKUP($A61,PERTANYAAN!$A$18:$E$71,5,0)</f>
        <v>7.4999999999999997E-2</v>
      </c>
      <c r="E61" s="17"/>
      <c r="F61" s="16"/>
      <c r="G61" s="16"/>
      <c r="H61" s="11"/>
      <c r="I61" s="11"/>
      <c r="J61" s="11"/>
      <c r="K61" s="11" t="s">
        <v>16</v>
      </c>
      <c r="L61" s="11"/>
      <c r="M61" s="16">
        <f t="shared" ref="M61:M63" si="2">IF(H61="V",$D61*H$15,IF(I61="V",$D61*I$15,IF(J61="V",$D61*J$15,IF(K61="V",$D61*K$15,IF(L61="V",$D61*L$15,0)))))*100</f>
        <v>6</v>
      </c>
      <c r="N61" s="15"/>
    </row>
    <row r="62" spans="1:14" x14ac:dyDescent="0.4">
      <c r="A62" s="62" t="s">
        <v>119</v>
      </c>
      <c r="B62" s="18" t="s">
        <v>6</v>
      </c>
      <c r="C62" s="45" t="str">
        <f>VLOOKUP($A62,PERTANYAAN!$A$18:$E$71,3,0)</f>
        <v>Inisiatif</v>
      </c>
      <c r="D62" s="46">
        <f>VLOOKUP($A62,PERTANYAAN!$A$18:$E$71,5,0)</f>
        <v>0.05</v>
      </c>
      <c r="E62" s="17"/>
      <c r="F62" s="16"/>
      <c r="G62" s="16"/>
      <c r="H62" s="11"/>
      <c r="I62" s="11"/>
      <c r="J62" s="11"/>
      <c r="K62" s="11"/>
      <c r="L62" s="11" t="s">
        <v>16</v>
      </c>
      <c r="M62" s="16">
        <f t="shared" si="2"/>
        <v>5</v>
      </c>
      <c r="N62" s="15"/>
    </row>
    <row r="63" spans="1:14" x14ac:dyDescent="0.4">
      <c r="A63" s="62" t="s">
        <v>120</v>
      </c>
      <c r="B63" s="18" t="s">
        <v>6</v>
      </c>
      <c r="C63" s="45" t="str">
        <f>VLOOKUP($A63,PERTANYAAN!$A$18:$E$71,3,0)</f>
        <v>Adaptif</v>
      </c>
      <c r="D63" s="46">
        <f>VLOOKUP($A63,PERTANYAAN!$A$18:$E$71,5,0)</f>
        <v>2.5000000000000001E-2</v>
      </c>
      <c r="E63" s="17"/>
      <c r="F63" s="16"/>
      <c r="G63" s="16"/>
      <c r="H63" s="11"/>
      <c r="I63" s="11"/>
      <c r="J63" s="11"/>
      <c r="K63" s="11"/>
      <c r="L63" s="11" t="s">
        <v>16</v>
      </c>
      <c r="M63" s="16">
        <f t="shared" si="2"/>
        <v>2.5</v>
      </c>
      <c r="N63" s="15"/>
    </row>
    <row r="64" spans="1:14" x14ac:dyDescent="0.4">
      <c r="A64" s="1"/>
      <c r="B64" s="14"/>
      <c r="C64" s="15"/>
      <c r="D64" s="17"/>
      <c r="E64" s="17"/>
      <c r="F64" s="16"/>
      <c r="G64" s="16"/>
      <c r="H64" s="11"/>
      <c r="I64" s="11"/>
      <c r="J64" s="11"/>
      <c r="K64" s="11"/>
      <c r="L64" s="11"/>
      <c r="M64" s="16"/>
      <c r="N64" s="15"/>
    </row>
    <row r="65" spans="1:14" s="2" customFormat="1" x14ac:dyDescent="0.4">
      <c r="A65" s="3"/>
      <c r="B65" s="48" t="s">
        <v>100</v>
      </c>
      <c r="C65" s="49" t="s">
        <v>48</v>
      </c>
      <c r="D65" s="51">
        <f>SUM(D66:D68)</f>
        <v>0.05</v>
      </c>
      <c r="E65" s="51"/>
      <c r="F65" s="54"/>
      <c r="G65" s="54"/>
      <c r="H65" s="59"/>
      <c r="I65" s="59"/>
      <c r="J65" s="59"/>
      <c r="K65" s="59"/>
      <c r="L65" s="59"/>
      <c r="M65" s="54">
        <f>SUM(M66:M68)</f>
        <v>4.2</v>
      </c>
      <c r="N65" s="49"/>
    </row>
    <row r="66" spans="1:14" x14ac:dyDescent="0.4">
      <c r="A66" s="62" t="s">
        <v>121</v>
      </c>
      <c r="B66" s="18" t="s">
        <v>6</v>
      </c>
      <c r="C66" s="45" t="str">
        <f>VLOOKUP($A66,PERTANYAAN!$A$18:$E$71,3,0)</f>
        <v>Ekspektasi Salary (Mengukur Budget &amp; Skill)</v>
      </c>
      <c r="D66" s="46">
        <f>VLOOKUP($A66,PERTANYAAN!$A$18:$E$71,5,0)</f>
        <v>0.04</v>
      </c>
      <c r="E66" s="17"/>
      <c r="F66" s="16"/>
      <c r="G66" s="16"/>
      <c r="H66" s="11"/>
      <c r="I66" s="11"/>
      <c r="J66" s="11"/>
      <c r="K66" s="11" t="s">
        <v>16</v>
      </c>
      <c r="L66" s="11"/>
      <c r="M66" s="16">
        <f t="shared" ref="M66:M67" si="3">IF(H66="V",$D66*H$15,IF(I66="V",$D66*I$15,IF(J66="V",$D66*J$15,IF(K66="V",$D66*K$15,IF(L66="V",$D66*L$15,0)))))*100</f>
        <v>3.2</v>
      </c>
      <c r="N66" s="15"/>
    </row>
    <row r="67" spans="1:14" x14ac:dyDescent="0.4">
      <c r="A67" s="62" t="s">
        <v>122</v>
      </c>
      <c r="B67" s="18" t="s">
        <v>6</v>
      </c>
      <c r="C67" s="45" t="str">
        <f>VLOOKUP($A67,PERTANYAAN!$A$18:$E$71,3,0)</f>
        <v>Tujuan Karir</v>
      </c>
      <c r="D67" s="46">
        <f>VLOOKUP($A67,PERTANYAAN!$A$18:$E$71,5,0)</f>
        <v>0.01</v>
      </c>
      <c r="E67" s="17"/>
      <c r="F67" s="16"/>
      <c r="G67" s="16"/>
      <c r="H67" s="11"/>
      <c r="I67" s="11"/>
      <c r="J67" s="11"/>
      <c r="K67" s="11"/>
      <c r="L67" s="11" t="s">
        <v>16</v>
      </c>
      <c r="M67" s="16">
        <f t="shared" si="3"/>
        <v>1</v>
      </c>
      <c r="N67" s="15"/>
    </row>
    <row r="68" spans="1:14" x14ac:dyDescent="0.4">
      <c r="A68" s="62"/>
      <c r="B68" s="14"/>
      <c r="C68" s="15"/>
      <c r="D68" s="17"/>
      <c r="E68" s="17"/>
      <c r="F68" s="16"/>
      <c r="G68" s="16"/>
      <c r="H68" s="11"/>
      <c r="I68" s="11"/>
      <c r="J68" s="11"/>
      <c r="K68" s="11"/>
      <c r="L68" s="11"/>
      <c r="M68" s="16"/>
      <c r="N68" s="15"/>
    </row>
    <row r="69" spans="1:14" s="2" customFormat="1" x14ac:dyDescent="0.4">
      <c r="A69" s="3"/>
      <c r="B69" s="48" t="s">
        <v>101</v>
      </c>
      <c r="C69" s="49" t="s">
        <v>134</v>
      </c>
      <c r="D69" s="51">
        <f>SUM(D70:D70)</f>
        <v>0.05</v>
      </c>
      <c r="E69" s="51"/>
      <c r="F69" s="54"/>
      <c r="G69" s="54"/>
      <c r="H69" s="59"/>
      <c r="I69" s="59"/>
      <c r="J69" s="59"/>
      <c r="K69" s="59"/>
      <c r="L69" s="59"/>
      <c r="M69" s="54">
        <f>SUM(M70)</f>
        <v>3</v>
      </c>
      <c r="N69" s="49"/>
    </row>
    <row r="70" spans="1:14" x14ac:dyDescent="0.4">
      <c r="A70" s="62" t="s">
        <v>123</v>
      </c>
      <c r="B70" s="18" t="s">
        <v>6</v>
      </c>
      <c r="C70" s="45" t="str">
        <f>VLOOKUP($A70,PERTANYAAN!$A$18:$E$71,3,0)</f>
        <v>Pertanyaan Spesifik User</v>
      </c>
      <c r="D70" s="46">
        <f>VLOOKUP($A70,PERTANYAAN!$A$18:$E$71,5,0)</f>
        <v>0.05</v>
      </c>
      <c r="E70" s="17"/>
      <c r="F70" s="16"/>
      <c r="G70" s="16"/>
      <c r="H70" s="11"/>
      <c r="I70" s="11"/>
      <c r="J70" s="11" t="s">
        <v>16</v>
      </c>
      <c r="K70" s="11"/>
      <c r="L70" s="11"/>
      <c r="M70" s="16">
        <f t="shared" ref="M70" si="4">IF(H70="V",$D70*H$15,IF(I70="V",$D70*I$15,IF(J70="V",$D70*J$15,IF(K70="V",$D70*K$15,IF(L70="V",$D70*L$15,0)))))*100</f>
        <v>3</v>
      </c>
      <c r="N70" s="15"/>
    </row>
    <row r="71" spans="1:14" x14ac:dyDescent="0.4">
      <c r="B71" s="19"/>
      <c r="C71" s="20"/>
      <c r="D71" s="22"/>
      <c r="E71" s="22"/>
      <c r="F71" s="21"/>
      <c r="G71" s="21"/>
      <c r="H71" s="23"/>
      <c r="I71" s="23"/>
      <c r="J71" s="23"/>
      <c r="K71" s="23"/>
      <c r="L71" s="23"/>
      <c r="M71" s="21"/>
      <c r="N71" s="20"/>
    </row>
    <row r="73" spans="1:14" x14ac:dyDescent="0.4">
      <c r="H73" s="26" t="s">
        <v>61</v>
      </c>
    </row>
    <row r="74" spans="1:14" x14ac:dyDescent="0.4">
      <c r="H74" s="7" t="s">
        <v>39</v>
      </c>
      <c r="I74" s="7" t="s">
        <v>29</v>
      </c>
      <c r="J74" s="25" t="s">
        <v>69</v>
      </c>
    </row>
    <row r="75" spans="1:14" x14ac:dyDescent="0.4">
      <c r="H75" s="7" t="s">
        <v>40</v>
      </c>
      <c r="I75" s="7" t="s">
        <v>29</v>
      </c>
      <c r="J75" s="25" t="s">
        <v>70</v>
      </c>
    </row>
    <row r="76" spans="1:14" x14ac:dyDescent="0.4">
      <c r="H76" s="7" t="s">
        <v>41</v>
      </c>
      <c r="I76" s="7" t="s">
        <v>29</v>
      </c>
      <c r="J76" s="25" t="s">
        <v>71</v>
      </c>
    </row>
    <row r="77" spans="1:14" x14ac:dyDescent="0.4">
      <c r="H77" s="7" t="s">
        <v>42</v>
      </c>
      <c r="I77" s="7" t="s">
        <v>29</v>
      </c>
      <c r="J77" s="25" t="s">
        <v>72</v>
      </c>
    </row>
    <row r="78" spans="1:14" x14ac:dyDescent="0.4">
      <c r="H78" s="7" t="s">
        <v>43</v>
      </c>
      <c r="I78" s="7" t="s">
        <v>29</v>
      </c>
      <c r="J78" s="25" t="s">
        <v>73</v>
      </c>
    </row>
  </sheetData>
  <mergeCells count="8">
    <mergeCell ref="N13:N14"/>
    <mergeCell ref="A13:A14"/>
    <mergeCell ref="B13:B14"/>
    <mergeCell ref="C13:C14"/>
    <mergeCell ref="D13:D14"/>
    <mergeCell ref="F13:G13"/>
    <mergeCell ref="H13:L13"/>
    <mergeCell ref="M13:M1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E36F-54A2-44AF-AB9F-42C6B03E1E1C}">
  <sheetPr>
    <tabColor rgb="FF92D050"/>
  </sheetPr>
  <dimension ref="A1:N78"/>
  <sheetViews>
    <sheetView zoomScaleNormal="100" workbookViewId="0">
      <pane xSplit="1" ySplit="14" topLeftCell="B33" activePane="bottomRight" state="frozen"/>
      <selection activeCell="J70" sqref="J70"/>
      <selection pane="topRight" activeCell="J70" sqref="J70"/>
      <selection pane="bottomLeft" activeCell="J70" sqref="J70"/>
      <selection pane="bottomRight" activeCell="J70" sqref="J70"/>
    </sheetView>
  </sheetViews>
  <sheetFormatPr defaultRowHeight="14.6" outlineLevelRow="1" x14ac:dyDescent="0.4"/>
  <cols>
    <col min="1" max="1" width="17.69140625" customWidth="1"/>
    <col min="2" max="2" width="4.3828125" style="1" bestFit="1" customWidth="1"/>
    <col min="3" max="3" width="40.15234375" bestFit="1" customWidth="1"/>
    <col min="4" max="4" width="9.15234375" style="5"/>
    <col min="5" max="5" width="1.69140625" style="5" customWidth="1"/>
    <col min="6" max="7" width="9.15234375" style="4"/>
    <col min="8" max="12" width="9.15234375" style="7"/>
    <col min="13" max="13" width="9.15234375" style="4"/>
    <col min="14" max="14" width="16.84375" customWidth="1"/>
  </cols>
  <sheetData>
    <row r="1" spans="1:14" x14ac:dyDescent="0.4">
      <c r="A1" s="2" t="s">
        <v>125</v>
      </c>
    </row>
    <row r="2" spans="1:14" x14ac:dyDescent="0.4">
      <c r="A2" s="2" t="s">
        <v>0</v>
      </c>
    </row>
    <row r="5" spans="1:14" x14ac:dyDescent="0.4">
      <c r="A5" s="2" t="s">
        <v>1</v>
      </c>
      <c r="B5" s="1" t="s">
        <v>29</v>
      </c>
      <c r="C5" s="2" t="s">
        <v>146</v>
      </c>
    </row>
    <row r="6" spans="1:14" x14ac:dyDescent="0.4">
      <c r="A6" s="2" t="s">
        <v>20</v>
      </c>
      <c r="B6" s="1" t="s">
        <v>29</v>
      </c>
      <c r="C6" t="s">
        <v>31</v>
      </c>
    </row>
    <row r="7" spans="1:14" x14ac:dyDescent="0.4">
      <c r="A7" s="2" t="s">
        <v>32</v>
      </c>
      <c r="B7" s="1" t="s">
        <v>29</v>
      </c>
      <c r="C7" t="s">
        <v>33</v>
      </c>
    </row>
    <row r="8" spans="1:14" x14ac:dyDescent="0.4">
      <c r="A8" s="2" t="s">
        <v>34</v>
      </c>
      <c r="B8" s="1" t="s">
        <v>29</v>
      </c>
      <c r="C8" t="s">
        <v>35</v>
      </c>
    </row>
    <row r="9" spans="1:14" x14ac:dyDescent="0.4">
      <c r="A9" s="2" t="s">
        <v>28</v>
      </c>
      <c r="B9" s="1" t="s">
        <v>29</v>
      </c>
      <c r="C9" t="s">
        <v>83</v>
      </c>
    </row>
    <row r="10" spans="1:14" x14ac:dyDescent="0.4">
      <c r="A10" s="2" t="s">
        <v>38</v>
      </c>
      <c r="B10" s="1" t="s">
        <v>29</v>
      </c>
      <c r="C10" s="2" t="s">
        <v>141</v>
      </c>
      <c r="D10" s="6" t="s">
        <v>92</v>
      </c>
    </row>
    <row r="11" spans="1:14" x14ac:dyDescent="0.4">
      <c r="A11" s="2" t="s">
        <v>67</v>
      </c>
      <c r="B11" s="1" t="s">
        <v>29</v>
      </c>
      <c r="C11" s="24">
        <f>M16</f>
        <v>80.7</v>
      </c>
    </row>
    <row r="13" spans="1:14" s="2" customFormat="1" x14ac:dyDescent="0.4">
      <c r="A13" s="67" t="s">
        <v>124</v>
      </c>
      <c r="B13" s="68" t="s">
        <v>2</v>
      </c>
      <c r="C13" s="68" t="s">
        <v>3</v>
      </c>
      <c r="D13" s="70" t="s">
        <v>19</v>
      </c>
      <c r="E13" s="42"/>
      <c r="F13" s="65" t="s">
        <v>18</v>
      </c>
      <c r="G13" s="65"/>
      <c r="H13" s="68" t="s">
        <v>37</v>
      </c>
      <c r="I13" s="68"/>
      <c r="J13" s="68"/>
      <c r="K13" s="68"/>
      <c r="L13" s="68"/>
      <c r="M13" s="65" t="s">
        <v>17</v>
      </c>
      <c r="N13" s="66" t="s">
        <v>61</v>
      </c>
    </row>
    <row r="14" spans="1:14" s="2" customFormat="1" x14ac:dyDescent="0.4">
      <c r="A14" s="67"/>
      <c r="B14" s="68"/>
      <c r="C14" s="69"/>
      <c r="D14" s="71"/>
      <c r="E14" s="44"/>
      <c r="F14" s="43" t="s">
        <v>14</v>
      </c>
      <c r="G14" s="43" t="s">
        <v>15</v>
      </c>
      <c r="H14" s="41" t="s">
        <v>39</v>
      </c>
      <c r="I14" s="41" t="s">
        <v>40</v>
      </c>
      <c r="J14" s="41" t="s">
        <v>41</v>
      </c>
      <c r="K14" s="41" t="s">
        <v>42</v>
      </c>
      <c r="L14" s="41" t="s">
        <v>43</v>
      </c>
      <c r="M14" s="65"/>
      <c r="N14" s="66"/>
    </row>
    <row r="15" spans="1:14" s="2" customFormat="1" x14ac:dyDescent="0.4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4">
      <c r="A16" s="3"/>
      <c r="B16" s="39"/>
      <c r="C16" s="63" t="s">
        <v>65</v>
      </c>
      <c r="D16" s="39"/>
      <c r="E16" s="39"/>
      <c r="F16" s="61"/>
      <c r="G16" s="61"/>
      <c r="H16" s="39"/>
      <c r="I16" s="39"/>
      <c r="J16" s="39"/>
      <c r="K16" s="39"/>
      <c r="L16" s="39"/>
      <c r="M16" s="40">
        <f>M17+M21+M27+M43+M60+M65+M69</f>
        <v>80.7</v>
      </c>
      <c r="N16" s="35"/>
    </row>
    <row r="17" spans="1:14" x14ac:dyDescent="0.4">
      <c r="B17" s="48" t="s">
        <v>66</v>
      </c>
      <c r="C17" s="49" t="s">
        <v>8</v>
      </c>
      <c r="D17" s="51">
        <f>SUM(D18:D19)</f>
        <v>0.1</v>
      </c>
      <c r="E17" s="51"/>
      <c r="F17" s="54"/>
      <c r="G17" s="54"/>
      <c r="H17" s="53"/>
      <c r="I17" s="53"/>
      <c r="J17" s="53"/>
      <c r="K17" s="53"/>
      <c r="L17" s="53"/>
      <c r="M17" s="54">
        <f>SUM(M18:M20)</f>
        <v>6</v>
      </c>
      <c r="N17" s="55"/>
    </row>
    <row r="18" spans="1:14" x14ac:dyDescent="0.4">
      <c r="A18" s="62" t="s">
        <v>102</v>
      </c>
      <c r="B18" s="18">
        <v>1</v>
      </c>
      <c r="C18" s="45" t="str">
        <f>VLOOKUP($A18,PERTANYAAN!$A$18:$E$71,3,0)</f>
        <v>Pengalaman di dalam Daniswara Group</v>
      </c>
      <c r="D18" s="46">
        <f>VLOOKUP($A18,PERTANYAAN!$A$18:$E$71,5,0)</f>
        <v>0.06</v>
      </c>
      <c r="E18" s="17"/>
      <c r="F18" s="16" t="s">
        <v>16</v>
      </c>
      <c r="G18" s="16"/>
      <c r="H18" s="11"/>
      <c r="I18" s="11"/>
      <c r="J18" s="11"/>
      <c r="K18" s="11"/>
      <c r="L18" s="11"/>
      <c r="M18" s="16">
        <f>IF(F18="V",D18*100,0)</f>
        <v>6</v>
      </c>
      <c r="N18" s="15"/>
    </row>
    <row r="19" spans="1:14" x14ac:dyDescent="0.4">
      <c r="A19" s="62" t="s">
        <v>103</v>
      </c>
      <c r="B19" s="18">
        <f>B18+1</f>
        <v>2</v>
      </c>
      <c r="C19" s="45" t="str">
        <f>VLOOKUP($A19,PERTANYAAN!$A$18:$E$71,3,0)</f>
        <v>Pengalaman di luar Daniswara Group</v>
      </c>
      <c r="D19" s="46">
        <f>VLOOKUP($A19,PERTANYAAN!$A$18:$E$71,5,0)</f>
        <v>0.04</v>
      </c>
      <c r="E19" s="17"/>
      <c r="F19" s="16"/>
      <c r="G19" s="16"/>
      <c r="H19" s="11"/>
      <c r="I19" s="11"/>
      <c r="J19" s="11"/>
      <c r="K19" s="11"/>
      <c r="L19" s="11"/>
      <c r="M19" s="16">
        <f>IF(F19="V",D19*100,0)</f>
        <v>0</v>
      </c>
      <c r="N19" s="15"/>
    </row>
    <row r="20" spans="1:14" x14ac:dyDescent="0.4">
      <c r="A20" s="1"/>
      <c r="B20" s="14"/>
      <c r="C20" s="15"/>
      <c r="D20" s="17"/>
      <c r="E20" s="17"/>
      <c r="F20" s="16"/>
      <c r="G20" s="16"/>
      <c r="H20" s="11"/>
      <c r="I20" s="11"/>
      <c r="J20" s="11"/>
      <c r="K20" s="11"/>
      <c r="L20" s="11"/>
      <c r="M20" s="16"/>
      <c r="N20" s="15"/>
    </row>
    <row r="21" spans="1:14" x14ac:dyDescent="0.4">
      <c r="A21" s="1"/>
      <c r="B21" s="48" t="s">
        <v>42</v>
      </c>
      <c r="C21" s="49" t="s">
        <v>9</v>
      </c>
      <c r="D21" s="51">
        <f>SUM(D22:D25)</f>
        <v>0.05</v>
      </c>
      <c r="E21" s="51"/>
      <c r="F21" s="54"/>
      <c r="G21" s="54"/>
      <c r="H21" s="53"/>
      <c r="I21" s="53"/>
      <c r="J21" s="53"/>
      <c r="K21" s="53"/>
      <c r="L21" s="53"/>
      <c r="M21" s="54">
        <f>SUM(M22:M25)</f>
        <v>5</v>
      </c>
      <c r="N21" s="55"/>
    </row>
    <row r="22" spans="1:14" x14ac:dyDescent="0.4">
      <c r="A22" s="62" t="s">
        <v>104</v>
      </c>
      <c r="B22" s="18">
        <v>1</v>
      </c>
      <c r="C22" s="45" t="str">
        <f>VLOOKUP($A22,PERTANYAAN!$A$18:$E$71,3,0)</f>
        <v>Identitas (KTP &amp; KK)</v>
      </c>
      <c r="D22" s="46">
        <f>VLOOKUP($A22,PERTANYAAN!$A$18:$E$71,5,0)</f>
        <v>0.01</v>
      </c>
      <c r="E22" s="17"/>
      <c r="F22" s="16" t="s">
        <v>16</v>
      </c>
      <c r="G22" s="16"/>
      <c r="H22" s="11"/>
      <c r="I22" s="11"/>
      <c r="J22" s="11"/>
      <c r="K22" s="11"/>
      <c r="L22" s="11"/>
      <c r="M22" s="16">
        <f>IF(F22="V",D22*100,0)</f>
        <v>1</v>
      </c>
      <c r="N22" s="15"/>
    </row>
    <row r="23" spans="1:14" x14ac:dyDescent="0.4">
      <c r="A23" s="62" t="s">
        <v>105</v>
      </c>
      <c r="B23" s="18">
        <f>B22+1</f>
        <v>2</v>
      </c>
      <c r="C23" s="45" t="str">
        <f>VLOOKUP($A23,PERTANYAAN!$A$18:$E$71,3,0)</f>
        <v>SIM A (utk jabatan di Divisi Operasi)</v>
      </c>
      <c r="D23" s="46">
        <f>VLOOKUP($A23,PERTANYAAN!$A$18:$E$71,5,0)</f>
        <v>0.02</v>
      </c>
      <c r="E23" s="17"/>
      <c r="F23" s="16" t="s">
        <v>16</v>
      </c>
      <c r="G23" s="16"/>
      <c r="H23" s="11"/>
      <c r="I23" s="11"/>
      <c r="J23" s="11"/>
      <c r="K23" s="11"/>
      <c r="L23" s="11"/>
      <c r="M23" s="16">
        <f>IF(F23="V",D23*100,0)</f>
        <v>2</v>
      </c>
      <c r="N23" s="15"/>
    </row>
    <row r="24" spans="1:14" x14ac:dyDescent="0.4">
      <c r="A24" s="62" t="s">
        <v>106</v>
      </c>
      <c r="B24" s="18">
        <f t="shared" ref="B24:B25" si="0">B23+1</f>
        <v>3</v>
      </c>
      <c r="C24" s="45" t="str">
        <f>VLOOKUP($A24,PERTANYAAN!$A$18:$E$71,3,0)</f>
        <v>SIM C</v>
      </c>
      <c r="D24" s="46">
        <f>VLOOKUP($A24,PERTANYAAN!$A$18:$E$71,5,0)</f>
        <v>0.01</v>
      </c>
      <c r="E24" s="17"/>
      <c r="F24" s="16" t="s">
        <v>16</v>
      </c>
      <c r="G24" s="16"/>
      <c r="H24" s="11"/>
      <c r="I24" s="11"/>
      <c r="J24" s="11"/>
      <c r="K24" s="11"/>
      <c r="L24" s="11"/>
      <c r="M24" s="16">
        <f>IF(F24="V",D24*100,0)</f>
        <v>1</v>
      </c>
      <c r="N24" s="15"/>
    </row>
    <row r="25" spans="1:14" x14ac:dyDescent="0.4">
      <c r="A25" s="62" t="s">
        <v>107</v>
      </c>
      <c r="B25" s="18">
        <f t="shared" si="0"/>
        <v>4</v>
      </c>
      <c r="C25" s="45" t="str">
        <f>VLOOKUP($A25,PERTANYAAN!$A$18:$E$71,3,0)</f>
        <v>NPWP</v>
      </c>
      <c r="D25" s="46">
        <f>VLOOKUP($A25,PERTANYAAN!$A$18:$E$71,5,0)</f>
        <v>0.01</v>
      </c>
      <c r="E25" s="17"/>
      <c r="F25" s="16" t="s">
        <v>16</v>
      </c>
      <c r="G25" s="16"/>
      <c r="H25" s="11"/>
      <c r="I25" s="11"/>
      <c r="J25" s="11"/>
      <c r="K25" s="11"/>
      <c r="L25" s="11"/>
      <c r="M25" s="16">
        <f>IF(F25="V",D25*100,0)</f>
        <v>1</v>
      </c>
      <c r="N25" s="15"/>
    </row>
    <row r="26" spans="1:14" x14ac:dyDescent="0.4">
      <c r="A26" s="1"/>
      <c r="B26" s="14"/>
      <c r="C26" s="15"/>
      <c r="D26" s="17"/>
      <c r="E26" s="17"/>
      <c r="F26" s="16"/>
      <c r="G26" s="16"/>
      <c r="H26" s="11"/>
      <c r="I26" s="11"/>
      <c r="J26" s="11"/>
      <c r="K26" s="11"/>
      <c r="L26" s="11"/>
      <c r="M26" s="16"/>
      <c r="N26" s="15"/>
    </row>
    <row r="27" spans="1:14" x14ac:dyDescent="0.4">
      <c r="A27" s="1"/>
      <c r="B27" s="48" t="s">
        <v>97</v>
      </c>
      <c r="C27" s="49" t="s">
        <v>21</v>
      </c>
      <c r="D27" s="51">
        <f>D28</f>
        <v>0.35000000000000003</v>
      </c>
      <c r="E27" s="57"/>
      <c r="F27" s="60"/>
      <c r="G27" s="60"/>
      <c r="H27" s="53"/>
      <c r="I27" s="53"/>
      <c r="J27" s="53"/>
      <c r="K27" s="53"/>
      <c r="L27" s="53"/>
      <c r="M27" s="54">
        <f>M28</f>
        <v>26.5</v>
      </c>
      <c r="N27" s="55"/>
    </row>
    <row r="28" spans="1:14" x14ac:dyDescent="0.4">
      <c r="A28" s="62" t="s">
        <v>108</v>
      </c>
      <c r="B28" s="18">
        <v>1</v>
      </c>
      <c r="C28" s="45" t="str">
        <f>VLOOKUP($A28,PERTANYAAN!$A$18:$E$71,3,0)</f>
        <v>Operasi / Logistik</v>
      </c>
      <c r="D28" s="46">
        <f>VLOOKUP($A28,PERTANYAAN!$A$18:$E$71,5,0)</f>
        <v>0.35000000000000003</v>
      </c>
      <c r="E28" s="17"/>
      <c r="F28" s="16"/>
      <c r="G28" s="16"/>
      <c r="H28" s="11"/>
      <c r="I28" s="11"/>
      <c r="J28" s="11"/>
      <c r="K28" s="11"/>
      <c r="L28" s="11"/>
      <c r="M28" s="16">
        <f>SUM(M29:M33)</f>
        <v>26.5</v>
      </c>
      <c r="N28" s="15"/>
    </row>
    <row r="29" spans="1:14" x14ac:dyDescent="0.4">
      <c r="A29" s="62" t="s">
        <v>109</v>
      </c>
      <c r="B29" s="18" t="s">
        <v>6</v>
      </c>
      <c r="C29" s="45" t="str">
        <f>VLOOKUP($A29,PERTANYAAN!$A$18:$E$71,3,0)</f>
        <v>Skill Mengemudi</v>
      </c>
      <c r="D29" s="46">
        <f>VLOOKUP($A29,PERTANYAAN!$A$18:$E$71,5,0)</f>
        <v>0.15</v>
      </c>
      <c r="E29" s="17"/>
      <c r="F29" s="16"/>
      <c r="G29" s="16"/>
      <c r="H29" s="11"/>
      <c r="I29" s="11"/>
      <c r="J29" s="11"/>
      <c r="K29" s="11" t="s">
        <v>16</v>
      </c>
      <c r="L29" s="11"/>
      <c r="M29" s="16">
        <f>IF(H29="V",$D29*H$15,IF(I29="V",$D29*I$15,IF(J29="V",$D29*J$15,IF(K29="V",$D29*K$15,IF(L29="V",$D29*L$15,0)))))*100</f>
        <v>12</v>
      </c>
      <c r="N29" s="15"/>
    </row>
    <row r="30" spans="1:14" x14ac:dyDescent="0.4">
      <c r="A30" s="62" t="s">
        <v>110</v>
      </c>
      <c r="B30" s="18" t="s">
        <v>6</v>
      </c>
      <c r="C30" s="45" t="str">
        <f>VLOOKUP($A30,PERTANYAAN!$A$18:$E$71,3,0)</f>
        <v>Flow Administrasi Logistik</v>
      </c>
      <c r="D30" s="46">
        <f>VLOOKUP($A30,PERTANYAAN!$A$18:$E$71,5,0)</f>
        <v>0.1</v>
      </c>
      <c r="E30" s="17"/>
      <c r="F30" s="16"/>
      <c r="G30" s="16"/>
      <c r="H30" s="11"/>
      <c r="I30" s="11"/>
      <c r="J30" s="11"/>
      <c r="K30" s="11" t="s">
        <v>16</v>
      </c>
      <c r="L30" s="11"/>
      <c r="M30" s="16">
        <f t="shared" ref="M30:M32" si="1">IF(H30="V",$D30*H$15,IF(I30="V",$D30*I$15,IF(J30="V",$D30*J$15,IF(K30="V",$D30*K$15,IF(L30="V",$D30*L$15,0)))))*100</f>
        <v>8.0000000000000018</v>
      </c>
      <c r="N30" s="15"/>
    </row>
    <row r="31" spans="1:14" x14ac:dyDescent="0.4">
      <c r="A31" s="62" t="s">
        <v>111</v>
      </c>
      <c r="B31" s="18" t="s">
        <v>6</v>
      </c>
      <c r="C31" s="45" t="str">
        <f>VLOOKUP($A31,PERTANYAAN!$A$18:$E$71,3,0)</f>
        <v>Pengetahuan terkait logistik</v>
      </c>
      <c r="D31" s="46">
        <f>VLOOKUP($A31,PERTANYAAN!$A$18:$E$71,5,0)</f>
        <v>2.5000000000000001E-2</v>
      </c>
      <c r="E31" s="17"/>
      <c r="F31" s="16"/>
      <c r="G31" s="16"/>
      <c r="H31" s="11"/>
      <c r="I31" s="11"/>
      <c r="J31" s="11"/>
      <c r="K31" s="11" t="s">
        <v>16</v>
      </c>
      <c r="L31" s="11"/>
      <c r="M31" s="16">
        <f t="shared" si="1"/>
        <v>2.0000000000000004</v>
      </c>
      <c r="N31" s="15"/>
    </row>
    <row r="32" spans="1:14" x14ac:dyDescent="0.4">
      <c r="A32" s="62" t="s">
        <v>112</v>
      </c>
      <c r="B32" s="18" t="s">
        <v>6</v>
      </c>
      <c r="C32" s="45" t="str">
        <f>VLOOKUP($A32,PERTANYAAN!$A$18:$E$71,3,0)</f>
        <v>Pengalaman di Bongkar Muat</v>
      </c>
      <c r="D32" s="46">
        <f>VLOOKUP($A32,PERTANYAAN!$A$18:$E$71,5,0)</f>
        <v>7.4999999999999997E-2</v>
      </c>
      <c r="E32" s="17"/>
      <c r="F32" s="16"/>
      <c r="G32" s="16"/>
      <c r="H32" s="11"/>
      <c r="I32" s="11"/>
      <c r="J32" s="11" t="s">
        <v>16</v>
      </c>
      <c r="K32" s="11"/>
      <c r="L32" s="11"/>
      <c r="M32" s="16">
        <f t="shared" si="1"/>
        <v>4.5</v>
      </c>
      <c r="N32" s="15"/>
    </row>
    <row r="33" spans="1:14" x14ac:dyDescent="0.4">
      <c r="A33" s="1"/>
      <c r="B33" s="18"/>
      <c r="C33" s="15"/>
      <c r="D33" s="17"/>
      <c r="E33" s="17"/>
      <c r="F33" s="16"/>
      <c r="G33" s="16"/>
      <c r="H33" s="11"/>
      <c r="I33" s="11"/>
      <c r="J33" s="11"/>
      <c r="K33" s="11"/>
      <c r="L33" s="11"/>
      <c r="M33" s="16"/>
      <c r="N33" s="15"/>
    </row>
    <row r="34" spans="1:14" hidden="1" outlineLevel="1" x14ac:dyDescent="0.4">
      <c r="A34" s="1"/>
      <c r="B34" s="18">
        <f>B28+1</f>
        <v>2</v>
      </c>
      <c r="C34" s="15" t="s">
        <v>22</v>
      </c>
      <c r="D34" s="17">
        <f>SUM(D35:D37)</f>
        <v>0.35</v>
      </c>
      <c r="E34" s="17"/>
      <c r="F34" s="16"/>
      <c r="G34" s="16"/>
      <c r="H34" s="11"/>
      <c r="I34" s="11"/>
      <c r="J34" s="11"/>
      <c r="K34" s="11"/>
      <c r="L34" s="11"/>
      <c r="M34" s="16"/>
      <c r="N34" s="15"/>
    </row>
    <row r="35" spans="1:14" hidden="1" outlineLevel="1" x14ac:dyDescent="0.4">
      <c r="A35" s="1"/>
      <c r="B35" s="18" t="s">
        <v>6</v>
      </c>
      <c r="C35" s="15" t="s">
        <v>44</v>
      </c>
      <c r="D35" s="17">
        <v>0.15</v>
      </c>
      <c r="E35" s="17"/>
      <c r="F35" s="16"/>
      <c r="G35" s="16"/>
      <c r="H35" s="11"/>
      <c r="I35" s="11"/>
      <c r="J35" s="11"/>
      <c r="K35" s="11"/>
      <c r="L35" s="11"/>
      <c r="M35" s="16"/>
      <c r="N35" s="15"/>
    </row>
    <row r="36" spans="1:14" hidden="1" outlineLevel="1" x14ac:dyDescent="0.4">
      <c r="A36" s="1"/>
      <c r="B36" s="18" t="s">
        <v>6</v>
      </c>
      <c r="C36" s="15" t="s">
        <v>50</v>
      </c>
      <c r="D36" s="17">
        <v>0.2</v>
      </c>
      <c r="E36" s="17"/>
      <c r="F36" s="16"/>
      <c r="G36" s="16"/>
      <c r="H36" s="11"/>
      <c r="I36" s="11"/>
      <c r="J36" s="11"/>
      <c r="K36" s="11"/>
      <c r="L36" s="11"/>
      <c r="M36" s="16"/>
      <c r="N36" s="15"/>
    </row>
    <row r="37" spans="1:14" hidden="1" outlineLevel="1" x14ac:dyDescent="0.4">
      <c r="A37" s="1"/>
      <c r="B37" s="18"/>
      <c r="C37" s="15"/>
      <c r="D37" s="17"/>
      <c r="E37" s="17"/>
      <c r="F37" s="16"/>
      <c r="G37" s="16"/>
      <c r="H37" s="11"/>
      <c r="I37" s="11"/>
      <c r="J37" s="11"/>
      <c r="K37" s="11"/>
      <c r="L37" s="11"/>
      <c r="M37" s="16"/>
      <c r="N37" s="15"/>
    </row>
    <row r="38" spans="1:14" hidden="1" outlineLevel="1" x14ac:dyDescent="0.4">
      <c r="A38" s="1"/>
      <c r="B38" s="14">
        <v>3</v>
      </c>
      <c r="C38" s="15" t="s">
        <v>23</v>
      </c>
      <c r="D38" s="17"/>
      <c r="E38" s="17"/>
      <c r="F38" s="16"/>
      <c r="G38" s="16"/>
      <c r="H38" s="11"/>
      <c r="I38" s="11"/>
      <c r="J38" s="11"/>
      <c r="K38" s="11"/>
      <c r="L38" s="11"/>
      <c r="M38" s="16"/>
      <c r="N38" s="15"/>
    </row>
    <row r="39" spans="1:14" hidden="1" outlineLevel="1" x14ac:dyDescent="0.4">
      <c r="A39" s="1"/>
      <c r="B39" s="18" t="s">
        <v>6</v>
      </c>
      <c r="C39" s="15" t="s">
        <v>52</v>
      </c>
      <c r="D39" s="17"/>
      <c r="E39" s="17"/>
      <c r="F39" s="16"/>
      <c r="G39" s="16"/>
      <c r="H39" s="11"/>
      <c r="I39" s="11"/>
      <c r="J39" s="11"/>
      <c r="K39" s="11"/>
      <c r="L39" s="11"/>
      <c r="M39" s="16"/>
      <c r="N39" s="15"/>
    </row>
    <row r="40" spans="1:14" hidden="1" outlineLevel="1" x14ac:dyDescent="0.4">
      <c r="A40" s="1"/>
      <c r="B40" s="18" t="s">
        <v>6</v>
      </c>
      <c r="C40" s="15" t="s">
        <v>53</v>
      </c>
      <c r="D40" s="17"/>
      <c r="E40" s="17"/>
      <c r="F40" s="16"/>
      <c r="G40" s="16"/>
      <c r="H40" s="11"/>
      <c r="I40" s="11"/>
      <c r="J40" s="11"/>
      <c r="K40" s="11"/>
      <c r="L40" s="11"/>
      <c r="M40" s="16"/>
      <c r="N40" s="15"/>
    </row>
    <row r="41" spans="1:14" hidden="1" outlineLevel="1" x14ac:dyDescent="0.4">
      <c r="A41" s="1"/>
      <c r="B41" s="18" t="s">
        <v>6</v>
      </c>
      <c r="C41" s="15"/>
      <c r="D41" s="17"/>
      <c r="E41" s="17"/>
      <c r="F41" s="16"/>
      <c r="G41" s="16"/>
      <c r="H41" s="11"/>
      <c r="I41" s="11"/>
      <c r="J41" s="11"/>
      <c r="K41" s="11"/>
      <c r="L41" s="11"/>
      <c r="M41" s="16"/>
      <c r="N41" s="15"/>
    </row>
    <row r="42" spans="1:14" hidden="1" outlineLevel="1" x14ac:dyDescent="0.4">
      <c r="A42" s="1"/>
      <c r="B42" s="14"/>
      <c r="C42" s="15"/>
      <c r="D42" s="17"/>
      <c r="E42" s="17"/>
      <c r="F42" s="16"/>
      <c r="G42" s="16"/>
      <c r="H42" s="11"/>
      <c r="I42" s="11"/>
      <c r="J42" s="11"/>
      <c r="K42" s="11"/>
      <c r="L42" s="11"/>
      <c r="M42" s="16"/>
      <c r="N42" s="15"/>
    </row>
    <row r="43" spans="1:14" s="2" customFormat="1" collapsed="1" x14ac:dyDescent="0.4">
      <c r="A43" s="3"/>
      <c r="B43" s="48" t="s">
        <v>98</v>
      </c>
      <c r="C43" s="49" t="s">
        <v>24</v>
      </c>
      <c r="D43" s="51">
        <f>D44</f>
        <v>0.25</v>
      </c>
      <c r="E43" s="51"/>
      <c r="F43" s="54"/>
      <c r="G43" s="54"/>
      <c r="H43" s="59"/>
      <c r="I43" s="59"/>
      <c r="J43" s="59"/>
      <c r="K43" s="59"/>
      <c r="L43" s="59"/>
      <c r="M43" s="54">
        <f>M44</f>
        <v>22.5</v>
      </c>
      <c r="N43" s="49"/>
    </row>
    <row r="44" spans="1:14" x14ac:dyDescent="0.4">
      <c r="A44" s="1" t="s">
        <v>113</v>
      </c>
      <c r="B44" s="14">
        <v>1</v>
      </c>
      <c r="C44" s="45" t="str">
        <f>VLOOKUP($A44,PERTANYAAN!$A$18:$E$71,3,0)</f>
        <v>Staff</v>
      </c>
      <c r="D44" s="46">
        <f>VLOOKUP($A44,PERTANYAAN!$A$18:$E$71,5,0)</f>
        <v>0.25</v>
      </c>
      <c r="E44" s="17"/>
      <c r="F44" s="16"/>
      <c r="G44" s="16"/>
      <c r="H44" s="11"/>
      <c r="I44" s="11"/>
      <c r="J44" s="11"/>
      <c r="K44" s="11"/>
      <c r="L44" s="11"/>
      <c r="M44" s="16">
        <f>SUM(M45:M48)</f>
        <v>22.5</v>
      </c>
      <c r="N44" s="15"/>
    </row>
    <row r="45" spans="1:14" x14ac:dyDescent="0.4">
      <c r="A45" s="62" t="s">
        <v>114</v>
      </c>
      <c r="B45" s="18" t="s">
        <v>6</v>
      </c>
      <c r="C45" s="45" t="str">
        <f>VLOOKUP($A45,PERTANYAAN!$A$18:$E$71,3,0)</f>
        <v>Kepemimpinan</v>
      </c>
      <c r="D45" s="46">
        <f>VLOOKUP($A45,PERTANYAAN!$A$18:$E$71,5,0)</f>
        <v>2.5000000000000001E-2</v>
      </c>
      <c r="E45" s="17"/>
      <c r="F45" s="16"/>
      <c r="G45" s="16"/>
      <c r="H45" s="11"/>
      <c r="I45" s="11"/>
      <c r="J45" s="11"/>
      <c r="K45" s="11" t="s">
        <v>16</v>
      </c>
      <c r="L45" s="11"/>
      <c r="M45" s="16">
        <f>IF(H45="V",$D45*H$15,IF(I45="V",$D45*I$15,IF(J45="V",$D45*J$15,IF(K45="V",$D45*K$15,IF(L45="V",$D45*L$15,0)))))*100</f>
        <v>2.0000000000000004</v>
      </c>
      <c r="N45" s="15"/>
    </row>
    <row r="46" spans="1:14" x14ac:dyDescent="0.4">
      <c r="A46" s="62" t="s">
        <v>115</v>
      </c>
      <c r="B46" s="18" t="s">
        <v>6</v>
      </c>
      <c r="C46" s="45" t="str">
        <f>VLOOKUP($A46,PERTANYAAN!$A$18:$E$71,3,0)</f>
        <v>Komunikasi</v>
      </c>
      <c r="D46" s="46">
        <f>VLOOKUP($A46,PERTANYAAN!$A$18:$E$71,5,0)</f>
        <v>0.1</v>
      </c>
      <c r="E46" s="17"/>
      <c r="F46" s="16"/>
      <c r="G46" s="16"/>
      <c r="H46" s="11"/>
      <c r="I46" s="11"/>
      <c r="J46" s="11"/>
      <c r="K46" s="11" t="s">
        <v>16</v>
      </c>
      <c r="L46" s="11"/>
      <c r="M46" s="16">
        <f>IF(H46="V",$D46*H$15,IF(I46="V",$D46*I$15,IF(J46="V",$D46*J$15,IF(K46="V",$D46*K$15,IF(L46="V",$D46*L$15,0)))))*100</f>
        <v>8.0000000000000018</v>
      </c>
      <c r="N46" s="15"/>
    </row>
    <row r="47" spans="1:14" x14ac:dyDescent="0.4">
      <c r="A47" s="62" t="s">
        <v>116</v>
      </c>
      <c r="B47" s="18" t="s">
        <v>6</v>
      </c>
      <c r="C47" s="45" t="str">
        <f>VLOOKUP($A47,PERTANYAAN!$A$18:$E$71,3,0)</f>
        <v>Patuh pada Peraturan / Commitment</v>
      </c>
      <c r="D47" s="46">
        <f>VLOOKUP($A47,PERTANYAAN!$A$18:$E$71,5,0)</f>
        <v>0.05</v>
      </c>
      <c r="E47" s="17"/>
      <c r="F47" s="16"/>
      <c r="G47" s="16"/>
      <c r="H47" s="11"/>
      <c r="I47" s="11"/>
      <c r="J47" s="11"/>
      <c r="K47" s="11"/>
      <c r="L47" s="11" t="s">
        <v>16</v>
      </c>
      <c r="M47" s="16">
        <f>IF(H47="V",$D47*H$15,IF(I47="V",$D47*I$15,IF(J47="V",$D47*J$15,IF(K47="V",$D47*K$15,IF(L47="V",$D47*L$15,0)))))*100</f>
        <v>5</v>
      </c>
      <c r="N47" s="15"/>
    </row>
    <row r="48" spans="1:14" x14ac:dyDescent="0.4">
      <c r="A48" s="62" t="s">
        <v>117</v>
      </c>
      <c r="B48" s="18" t="s">
        <v>6</v>
      </c>
      <c r="C48" s="45" t="str">
        <f>VLOOKUP($A48,PERTANYAAN!$A$18:$E$71,3,0)</f>
        <v>Determinasi thd tekanan</v>
      </c>
      <c r="D48" s="46">
        <f>VLOOKUP($A48,PERTANYAAN!$A$18:$E$71,5,0)</f>
        <v>7.4999999999999997E-2</v>
      </c>
      <c r="E48" s="17"/>
      <c r="F48" s="16"/>
      <c r="G48" s="16"/>
      <c r="H48" s="11"/>
      <c r="I48" s="11"/>
      <c r="J48" s="11"/>
      <c r="K48" s="11"/>
      <c r="L48" s="11" t="s">
        <v>16</v>
      </c>
      <c r="M48" s="16">
        <f>IF(H48="V",$D48*H$15,IF(I48="V",$D48*I$15,IF(J48="V",$D48*J$15,IF(K48="V",$D48*K$15,IF(L48="V",$D48*L$15,0)))))*100</f>
        <v>7.5</v>
      </c>
      <c r="N48" s="15"/>
    </row>
    <row r="49" spans="1:14" x14ac:dyDescent="0.4">
      <c r="A49" s="1"/>
      <c r="B49" s="18"/>
      <c r="C49" s="15"/>
      <c r="D49" s="17"/>
      <c r="E49" s="17"/>
      <c r="F49" s="16"/>
      <c r="G49" s="16"/>
      <c r="H49" s="11"/>
      <c r="I49" s="11"/>
      <c r="J49" s="11"/>
      <c r="K49" s="11"/>
      <c r="L49" s="11"/>
      <c r="M49" s="16"/>
      <c r="N49" s="15"/>
    </row>
    <row r="50" spans="1:14" hidden="1" outlineLevel="1" x14ac:dyDescent="0.4">
      <c r="A50" s="1"/>
      <c r="B50" s="14">
        <v>2</v>
      </c>
      <c r="C50" s="15" t="s">
        <v>26</v>
      </c>
      <c r="D50" s="17"/>
      <c r="E50" s="17"/>
      <c r="F50" s="16"/>
      <c r="G50" s="16"/>
      <c r="H50" s="11"/>
      <c r="I50" s="11"/>
      <c r="J50" s="11"/>
      <c r="K50" s="11"/>
      <c r="L50" s="11"/>
      <c r="M50" s="16"/>
      <c r="N50" s="15"/>
    </row>
    <row r="51" spans="1:14" hidden="1" outlineLevel="1" x14ac:dyDescent="0.4">
      <c r="A51" s="1"/>
      <c r="B51" s="18" t="s">
        <v>6</v>
      </c>
      <c r="C51" s="15" t="s">
        <v>54</v>
      </c>
      <c r="D51" s="17"/>
      <c r="E51" s="17"/>
      <c r="F51" s="16"/>
      <c r="G51" s="16"/>
      <c r="H51" s="11"/>
      <c r="I51" s="11"/>
      <c r="J51" s="11"/>
      <c r="K51" s="11"/>
      <c r="L51" s="11"/>
      <c r="M51" s="16"/>
      <c r="N51" s="15"/>
    </row>
    <row r="52" spans="1:14" hidden="1" outlineLevel="1" x14ac:dyDescent="0.4">
      <c r="A52" s="1"/>
      <c r="B52" s="18" t="s">
        <v>6</v>
      </c>
      <c r="C52" s="15" t="s">
        <v>55</v>
      </c>
      <c r="D52" s="17"/>
      <c r="E52" s="17"/>
      <c r="F52" s="16"/>
      <c r="G52" s="16"/>
      <c r="H52" s="11"/>
      <c r="I52" s="11"/>
      <c r="J52" s="11"/>
      <c r="K52" s="11"/>
      <c r="L52" s="11"/>
      <c r="M52" s="16"/>
      <c r="N52" s="15"/>
    </row>
    <row r="53" spans="1:14" hidden="1" outlineLevel="1" x14ac:dyDescent="0.4">
      <c r="A53" s="1"/>
      <c r="B53" s="18" t="s">
        <v>6</v>
      </c>
      <c r="C53" s="15" t="s">
        <v>56</v>
      </c>
      <c r="D53" s="17"/>
      <c r="E53" s="17"/>
      <c r="F53" s="16"/>
      <c r="G53" s="16"/>
      <c r="H53" s="11"/>
      <c r="I53" s="11"/>
      <c r="J53" s="11"/>
      <c r="K53" s="11"/>
      <c r="L53" s="11"/>
      <c r="M53" s="16"/>
      <c r="N53" s="15"/>
    </row>
    <row r="54" spans="1:14" hidden="1" outlineLevel="1" x14ac:dyDescent="0.4">
      <c r="A54" s="1"/>
      <c r="B54" s="18"/>
      <c r="C54" s="15"/>
      <c r="D54" s="17"/>
      <c r="E54" s="17"/>
      <c r="F54" s="16"/>
      <c r="G54" s="16"/>
      <c r="H54" s="11"/>
      <c r="I54" s="11"/>
      <c r="J54" s="11"/>
      <c r="K54" s="11"/>
      <c r="L54" s="11"/>
      <c r="M54" s="16"/>
      <c r="N54" s="15"/>
    </row>
    <row r="55" spans="1:14" hidden="1" outlineLevel="1" x14ac:dyDescent="0.4">
      <c r="A55" s="1"/>
      <c r="B55" s="14">
        <v>3</v>
      </c>
      <c r="C55" s="15" t="s">
        <v>27</v>
      </c>
      <c r="D55" s="17"/>
      <c r="E55" s="17"/>
      <c r="F55" s="16"/>
      <c r="G55" s="16"/>
      <c r="H55" s="11"/>
      <c r="I55" s="11"/>
      <c r="J55" s="11"/>
      <c r="K55" s="11"/>
      <c r="L55" s="11"/>
      <c r="M55" s="16"/>
      <c r="N55" s="15"/>
    </row>
    <row r="56" spans="1:14" hidden="1" outlineLevel="1" x14ac:dyDescent="0.4">
      <c r="A56" s="1"/>
      <c r="B56" s="18" t="s">
        <v>6</v>
      </c>
      <c r="C56" s="15" t="s">
        <v>54</v>
      </c>
      <c r="D56" s="17"/>
      <c r="E56" s="17"/>
      <c r="F56" s="16"/>
      <c r="G56" s="16"/>
      <c r="H56" s="11"/>
      <c r="I56" s="11"/>
      <c r="J56" s="11"/>
      <c r="K56" s="11"/>
      <c r="L56" s="11"/>
      <c r="M56" s="16"/>
      <c r="N56" s="15"/>
    </row>
    <row r="57" spans="1:14" hidden="1" outlineLevel="1" x14ac:dyDescent="0.4">
      <c r="A57" s="1"/>
      <c r="B57" s="18" t="s">
        <v>6</v>
      </c>
      <c r="C57" s="15" t="s">
        <v>56</v>
      </c>
      <c r="D57" s="17"/>
      <c r="E57" s="17"/>
      <c r="F57" s="16"/>
      <c r="G57" s="16"/>
      <c r="H57" s="11"/>
      <c r="I57" s="11"/>
      <c r="J57" s="11"/>
      <c r="K57" s="11"/>
      <c r="L57" s="11"/>
      <c r="M57" s="16"/>
      <c r="N57" s="15"/>
    </row>
    <row r="58" spans="1:14" hidden="1" outlineLevel="1" x14ac:dyDescent="0.4">
      <c r="A58" s="1"/>
      <c r="B58" s="18" t="s">
        <v>6</v>
      </c>
      <c r="C58" s="15" t="s">
        <v>57</v>
      </c>
      <c r="D58" s="17"/>
      <c r="E58" s="17"/>
      <c r="F58" s="16"/>
      <c r="G58" s="16"/>
      <c r="H58" s="11"/>
      <c r="I58" s="11"/>
      <c r="J58" s="11"/>
      <c r="K58" s="11"/>
      <c r="L58" s="11"/>
      <c r="M58" s="16"/>
      <c r="N58" s="15"/>
    </row>
    <row r="59" spans="1:14" hidden="1" outlineLevel="1" x14ac:dyDescent="0.4">
      <c r="A59" s="1"/>
      <c r="B59" s="14"/>
      <c r="C59" s="15"/>
      <c r="D59" s="17"/>
      <c r="E59" s="17"/>
      <c r="F59" s="16"/>
      <c r="G59" s="16"/>
      <c r="H59" s="11"/>
      <c r="I59" s="11"/>
      <c r="J59" s="11"/>
      <c r="K59" s="11"/>
      <c r="L59" s="11"/>
      <c r="M59" s="16"/>
      <c r="N59" s="15"/>
    </row>
    <row r="60" spans="1:14" s="2" customFormat="1" collapsed="1" x14ac:dyDescent="0.4">
      <c r="A60" s="3"/>
      <c r="B60" s="48" t="s">
        <v>99</v>
      </c>
      <c r="C60" s="49" t="s">
        <v>46</v>
      </c>
      <c r="D60" s="51">
        <f>SUM(D61:D64)</f>
        <v>0.15</v>
      </c>
      <c r="E60" s="51"/>
      <c r="F60" s="54"/>
      <c r="G60" s="54"/>
      <c r="H60" s="59"/>
      <c r="I60" s="59"/>
      <c r="J60" s="59"/>
      <c r="K60" s="59"/>
      <c r="L60" s="59"/>
      <c r="M60" s="54">
        <f>SUM(M61:M64)</f>
        <v>13.5</v>
      </c>
      <c r="N60" s="49"/>
    </row>
    <row r="61" spans="1:14" x14ac:dyDescent="0.4">
      <c r="A61" s="62" t="s">
        <v>118</v>
      </c>
      <c r="B61" s="18" t="s">
        <v>6</v>
      </c>
      <c r="C61" s="45" t="str">
        <f>VLOOKUP($A61,PERTANYAAN!$A$18:$E$71,3,0)</f>
        <v>Antusiasme / Keinginan bergabung</v>
      </c>
      <c r="D61" s="46">
        <f>VLOOKUP($A61,PERTANYAAN!$A$18:$E$71,5,0)</f>
        <v>7.4999999999999997E-2</v>
      </c>
      <c r="E61" s="17"/>
      <c r="F61" s="16"/>
      <c r="G61" s="16"/>
      <c r="H61" s="11"/>
      <c r="I61" s="11"/>
      <c r="J61" s="11"/>
      <c r="K61" s="11" t="s">
        <v>16</v>
      </c>
      <c r="L61" s="11"/>
      <c r="M61" s="16">
        <f t="shared" ref="M61:M63" si="2">IF(H61="V",$D61*H$15,IF(I61="V",$D61*I$15,IF(J61="V",$D61*J$15,IF(K61="V",$D61*K$15,IF(L61="V",$D61*L$15,0)))))*100</f>
        <v>6</v>
      </c>
      <c r="N61" s="15"/>
    </row>
    <row r="62" spans="1:14" x14ac:dyDescent="0.4">
      <c r="A62" s="62" t="s">
        <v>119</v>
      </c>
      <c r="B62" s="18" t="s">
        <v>6</v>
      </c>
      <c r="C62" s="45" t="str">
        <f>VLOOKUP($A62,PERTANYAAN!$A$18:$E$71,3,0)</f>
        <v>Inisiatif</v>
      </c>
      <c r="D62" s="46">
        <f>VLOOKUP($A62,PERTANYAAN!$A$18:$E$71,5,0)</f>
        <v>0.05</v>
      </c>
      <c r="E62" s="17"/>
      <c r="F62" s="16"/>
      <c r="G62" s="16"/>
      <c r="H62" s="11"/>
      <c r="I62" s="11"/>
      <c r="J62" s="11"/>
      <c r="K62" s="11"/>
      <c r="L62" s="11" t="s">
        <v>16</v>
      </c>
      <c r="M62" s="16">
        <f t="shared" si="2"/>
        <v>5</v>
      </c>
      <c r="N62" s="15"/>
    </row>
    <row r="63" spans="1:14" x14ac:dyDescent="0.4">
      <c r="A63" s="62" t="s">
        <v>120</v>
      </c>
      <c r="B63" s="18" t="s">
        <v>6</v>
      </c>
      <c r="C63" s="45" t="str">
        <f>VLOOKUP($A63,PERTANYAAN!$A$18:$E$71,3,0)</f>
        <v>Adaptif</v>
      </c>
      <c r="D63" s="46">
        <f>VLOOKUP($A63,PERTANYAAN!$A$18:$E$71,5,0)</f>
        <v>2.5000000000000001E-2</v>
      </c>
      <c r="E63" s="17"/>
      <c r="F63" s="16"/>
      <c r="G63" s="16"/>
      <c r="H63" s="11"/>
      <c r="I63" s="11"/>
      <c r="J63" s="11"/>
      <c r="K63" s="11"/>
      <c r="L63" s="11" t="s">
        <v>16</v>
      </c>
      <c r="M63" s="16">
        <f t="shared" si="2"/>
        <v>2.5</v>
      </c>
      <c r="N63" s="15"/>
    </row>
    <row r="64" spans="1:14" x14ac:dyDescent="0.4">
      <c r="A64" s="1"/>
      <c r="B64" s="14"/>
      <c r="C64" s="15"/>
      <c r="D64" s="17"/>
      <c r="E64" s="17"/>
      <c r="F64" s="16"/>
      <c r="G64" s="16"/>
      <c r="H64" s="11"/>
      <c r="I64" s="11"/>
      <c r="J64" s="11"/>
      <c r="K64" s="11"/>
      <c r="L64" s="11"/>
      <c r="M64" s="16"/>
      <c r="N64" s="15"/>
    </row>
    <row r="65" spans="1:14" s="2" customFormat="1" x14ac:dyDescent="0.4">
      <c r="A65" s="3"/>
      <c r="B65" s="48" t="s">
        <v>100</v>
      </c>
      <c r="C65" s="49" t="s">
        <v>48</v>
      </c>
      <c r="D65" s="51">
        <f>SUM(D66:D68)</f>
        <v>0.05</v>
      </c>
      <c r="E65" s="51"/>
      <c r="F65" s="54"/>
      <c r="G65" s="54"/>
      <c r="H65" s="59"/>
      <c r="I65" s="59"/>
      <c r="J65" s="59"/>
      <c r="K65" s="59"/>
      <c r="L65" s="59"/>
      <c r="M65" s="54">
        <f>SUM(M66:M68)</f>
        <v>4.2</v>
      </c>
      <c r="N65" s="49"/>
    </row>
    <row r="66" spans="1:14" x14ac:dyDescent="0.4">
      <c r="A66" s="62" t="s">
        <v>121</v>
      </c>
      <c r="B66" s="18" t="s">
        <v>6</v>
      </c>
      <c r="C66" s="45" t="str">
        <f>VLOOKUP($A66,PERTANYAAN!$A$18:$E$71,3,0)</f>
        <v>Ekspektasi Salary (Mengukur Budget &amp; Skill)</v>
      </c>
      <c r="D66" s="46">
        <f>VLOOKUP($A66,PERTANYAAN!$A$18:$E$71,5,0)</f>
        <v>0.04</v>
      </c>
      <c r="E66" s="17"/>
      <c r="F66" s="16"/>
      <c r="G66" s="16"/>
      <c r="H66" s="11"/>
      <c r="I66" s="11"/>
      <c r="J66" s="11"/>
      <c r="K66" s="11" t="s">
        <v>16</v>
      </c>
      <c r="L66" s="11"/>
      <c r="M66" s="16">
        <f t="shared" ref="M66:M67" si="3">IF(H66="V",$D66*H$15,IF(I66="V",$D66*I$15,IF(J66="V",$D66*J$15,IF(K66="V",$D66*K$15,IF(L66="V",$D66*L$15,0)))))*100</f>
        <v>3.2</v>
      </c>
      <c r="N66" s="15"/>
    </row>
    <row r="67" spans="1:14" x14ac:dyDescent="0.4">
      <c r="A67" s="62" t="s">
        <v>122</v>
      </c>
      <c r="B67" s="18" t="s">
        <v>6</v>
      </c>
      <c r="C67" s="45" t="str">
        <f>VLOOKUP($A67,PERTANYAAN!$A$18:$E$71,3,0)</f>
        <v>Tujuan Karir</v>
      </c>
      <c r="D67" s="46">
        <f>VLOOKUP($A67,PERTANYAAN!$A$18:$E$71,5,0)</f>
        <v>0.01</v>
      </c>
      <c r="E67" s="17"/>
      <c r="F67" s="16"/>
      <c r="G67" s="16"/>
      <c r="H67" s="11"/>
      <c r="I67" s="11"/>
      <c r="J67" s="11"/>
      <c r="K67" s="11"/>
      <c r="L67" s="11" t="s">
        <v>16</v>
      </c>
      <c r="M67" s="16">
        <f t="shared" si="3"/>
        <v>1</v>
      </c>
      <c r="N67" s="15"/>
    </row>
    <row r="68" spans="1:14" x14ac:dyDescent="0.4">
      <c r="A68" s="62"/>
      <c r="B68" s="14"/>
      <c r="C68" s="15"/>
      <c r="D68" s="17"/>
      <c r="E68" s="17"/>
      <c r="F68" s="16"/>
      <c r="G68" s="16"/>
      <c r="H68" s="11"/>
      <c r="I68" s="11"/>
      <c r="J68" s="11"/>
      <c r="K68" s="11"/>
      <c r="L68" s="11"/>
      <c r="M68" s="16"/>
      <c r="N68" s="15"/>
    </row>
    <row r="69" spans="1:14" s="2" customFormat="1" x14ac:dyDescent="0.4">
      <c r="A69" s="3"/>
      <c r="B69" s="48" t="s">
        <v>101</v>
      </c>
      <c r="C69" s="49" t="s">
        <v>134</v>
      </c>
      <c r="D69" s="51">
        <f>SUM(D70:D70)</f>
        <v>0.05</v>
      </c>
      <c r="E69" s="51"/>
      <c r="F69" s="54"/>
      <c r="G69" s="54"/>
      <c r="H69" s="59"/>
      <c r="I69" s="59"/>
      <c r="J69" s="59"/>
      <c r="K69" s="59"/>
      <c r="L69" s="59"/>
      <c r="M69" s="54">
        <f>SUM(M70)</f>
        <v>3</v>
      </c>
      <c r="N69" s="49"/>
    </row>
    <row r="70" spans="1:14" x14ac:dyDescent="0.4">
      <c r="A70" s="62" t="s">
        <v>123</v>
      </c>
      <c r="B70" s="18" t="s">
        <v>6</v>
      </c>
      <c r="C70" s="45" t="str">
        <f>VLOOKUP($A70,PERTANYAAN!$A$18:$E$71,3,0)</f>
        <v>Pertanyaan Spesifik User</v>
      </c>
      <c r="D70" s="46">
        <f>VLOOKUP($A70,PERTANYAAN!$A$18:$E$71,5,0)</f>
        <v>0.05</v>
      </c>
      <c r="E70" s="17"/>
      <c r="F70" s="16"/>
      <c r="G70" s="16"/>
      <c r="H70" s="11"/>
      <c r="I70" s="11"/>
      <c r="J70" s="11" t="s">
        <v>16</v>
      </c>
      <c r="K70" s="11"/>
      <c r="L70" s="11"/>
      <c r="M70" s="16">
        <f t="shared" ref="M70" si="4">IF(H70="V",$D70*H$15,IF(I70="V",$D70*I$15,IF(J70="V",$D70*J$15,IF(K70="V",$D70*K$15,IF(L70="V",$D70*L$15,0)))))*100</f>
        <v>3</v>
      </c>
      <c r="N70" s="15"/>
    </row>
    <row r="71" spans="1:14" x14ac:dyDescent="0.4">
      <c r="B71" s="19"/>
      <c r="C71" s="20"/>
      <c r="D71" s="22"/>
      <c r="E71" s="22"/>
      <c r="F71" s="21"/>
      <c r="G71" s="21"/>
      <c r="H71" s="23"/>
      <c r="I71" s="23"/>
      <c r="J71" s="23"/>
      <c r="K71" s="23"/>
      <c r="L71" s="23"/>
      <c r="M71" s="21"/>
      <c r="N71" s="20"/>
    </row>
    <row r="73" spans="1:14" x14ac:dyDescent="0.4">
      <c r="H73" s="26" t="s">
        <v>61</v>
      </c>
    </row>
    <row r="74" spans="1:14" x14ac:dyDescent="0.4">
      <c r="H74" s="7" t="s">
        <v>39</v>
      </c>
      <c r="I74" s="7" t="s">
        <v>29</v>
      </c>
      <c r="J74" s="25" t="s">
        <v>69</v>
      </c>
    </row>
    <row r="75" spans="1:14" x14ac:dyDescent="0.4">
      <c r="H75" s="7" t="s">
        <v>40</v>
      </c>
      <c r="I75" s="7" t="s">
        <v>29</v>
      </c>
      <c r="J75" s="25" t="s">
        <v>70</v>
      </c>
    </row>
    <row r="76" spans="1:14" x14ac:dyDescent="0.4">
      <c r="H76" s="7" t="s">
        <v>41</v>
      </c>
      <c r="I76" s="7" t="s">
        <v>29</v>
      </c>
      <c r="J76" s="25" t="s">
        <v>71</v>
      </c>
    </row>
    <row r="77" spans="1:14" x14ac:dyDescent="0.4">
      <c r="H77" s="7" t="s">
        <v>42</v>
      </c>
      <c r="I77" s="7" t="s">
        <v>29</v>
      </c>
      <c r="J77" s="25" t="s">
        <v>72</v>
      </c>
    </row>
    <row r="78" spans="1:14" x14ac:dyDescent="0.4">
      <c r="H78" s="7" t="s">
        <v>43</v>
      </c>
      <c r="I78" s="7" t="s">
        <v>29</v>
      </c>
      <c r="J78" s="25" t="s">
        <v>73</v>
      </c>
    </row>
  </sheetData>
  <mergeCells count="8">
    <mergeCell ref="N13:N14"/>
    <mergeCell ref="A13:A14"/>
    <mergeCell ref="B13:B14"/>
    <mergeCell ref="C13:C14"/>
    <mergeCell ref="D13:D14"/>
    <mergeCell ref="F13:G13"/>
    <mergeCell ref="H13:L13"/>
    <mergeCell ref="M13:M1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9DF9-AC24-414C-B54C-FC150CE13685}">
  <sheetPr>
    <tabColor rgb="FF92D050"/>
  </sheetPr>
  <dimension ref="A1:N78"/>
  <sheetViews>
    <sheetView zoomScaleNormal="100" workbookViewId="0">
      <pane xSplit="1" ySplit="14" topLeftCell="B33" activePane="bottomRight" state="frozen"/>
      <selection activeCell="J70" sqref="J70"/>
      <selection pane="topRight" activeCell="J70" sqref="J70"/>
      <selection pane="bottomLeft" activeCell="J70" sqref="J70"/>
      <selection pane="bottomRight" activeCell="J70" sqref="J70"/>
    </sheetView>
  </sheetViews>
  <sheetFormatPr defaultRowHeight="14.6" outlineLevelRow="1" x14ac:dyDescent="0.4"/>
  <cols>
    <col min="1" max="1" width="17.69140625" customWidth="1"/>
    <col min="2" max="2" width="4.3828125" style="1" bestFit="1" customWidth="1"/>
    <col min="3" max="3" width="40.15234375" bestFit="1" customWidth="1"/>
    <col min="4" max="4" width="9.15234375" style="5"/>
    <col min="5" max="5" width="1.69140625" style="5" customWidth="1"/>
    <col min="6" max="7" width="9.15234375" style="4"/>
    <col min="8" max="12" width="9.15234375" style="7"/>
    <col min="13" max="13" width="9.15234375" style="4"/>
    <col min="14" max="14" width="16.84375" customWidth="1"/>
  </cols>
  <sheetData>
    <row r="1" spans="1:14" x14ac:dyDescent="0.4">
      <c r="A1" s="2" t="s">
        <v>125</v>
      </c>
    </row>
    <row r="2" spans="1:14" x14ac:dyDescent="0.4">
      <c r="A2" s="2" t="s">
        <v>0</v>
      </c>
    </row>
    <row r="5" spans="1:14" x14ac:dyDescent="0.4">
      <c r="A5" s="2" t="s">
        <v>1</v>
      </c>
      <c r="B5" s="1" t="s">
        <v>29</v>
      </c>
      <c r="C5" s="2" t="s">
        <v>146</v>
      </c>
    </row>
    <row r="6" spans="1:14" x14ac:dyDescent="0.4">
      <c r="A6" s="2" t="s">
        <v>20</v>
      </c>
      <c r="B6" s="1" t="s">
        <v>29</v>
      </c>
      <c r="C6" t="s">
        <v>31</v>
      </c>
    </row>
    <row r="7" spans="1:14" x14ac:dyDescent="0.4">
      <c r="A7" s="2" t="s">
        <v>32</v>
      </c>
      <c r="B7" s="1" t="s">
        <v>29</v>
      </c>
      <c r="C7" t="s">
        <v>33</v>
      </c>
    </row>
    <row r="8" spans="1:14" x14ac:dyDescent="0.4">
      <c r="A8" s="2" t="s">
        <v>34</v>
      </c>
      <c r="B8" s="1" t="s">
        <v>29</v>
      </c>
      <c r="C8" t="s">
        <v>35</v>
      </c>
    </row>
    <row r="9" spans="1:14" x14ac:dyDescent="0.4">
      <c r="A9" s="2" t="s">
        <v>28</v>
      </c>
      <c r="B9" s="1" t="s">
        <v>29</v>
      </c>
      <c r="C9" t="s">
        <v>83</v>
      </c>
    </row>
    <row r="10" spans="1:14" x14ac:dyDescent="0.4">
      <c r="A10" s="2" t="s">
        <v>38</v>
      </c>
      <c r="B10" s="1" t="s">
        <v>29</v>
      </c>
      <c r="C10" s="2" t="s">
        <v>142</v>
      </c>
      <c r="D10" s="6" t="s">
        <v>92</v>
      </c>
    </row>
    <row r="11" spans="1:14" x14ac:dyDescent="0.4">
      <c r="A11" s="2" t="s">
        <v>67</v>
      </c>
      <c r="B11" s="1" t="s">
        <v>29</v>
      </c>
      <c r="C11" s="24">
        <f>M16</f>
        <v>73.8</v>
      </c>
    </row>
    <row r="13" spans="1:14" s="2" customFormat="1" x14ac:dyDescent="0.4">
      <c r="A13" s="67" t="s">
        <v>124</v>
      </c>
      <c r="B13" s="68" t="s">
        <v>2</v>
      </c>
      <c r="C13" s="68" t="s">
        <v>3</v>
      </c>
      <c r="D13" s="70" t="s">
        <v>19</v>
      </c>
      <c r="E13" s="42"/>
      <c r="F13" s="65" t="s">
        <v>18</v>
      </c>
      <c r="G13" s="65"/>
      <c r="H13" s="68" t="s">
        <v>37</v>
      </c>
      <c r="I13" s="68"/>
      <c r="J13" s="68"/>
      <c r="K13" s="68"/>
      <c r="L13" s="68"/>
      <c r="M13" s="65" t="s">
        <v>17</v>
      </c>
      <c r="N13" s="66" t="s">
        <v>61</v>
      </c>
    </row>
    <row r="14" spans="1:14" s="2" customFormat="1" x14ac:dyDescent="0.4">
      <c r="A14" s="67"/>
      <c r="B14" s="68"/>
      <c r="C14" s="69"/>
      <c r="D14" s="71"/>
      <c r="E14" s="44"/>
      <c r="F14" s="43" t="s">
        <v>14</v>
      </c>
      <c r="G14" s="43" t="s">
        <v>15</v>
      </c>
      <c r="H14" s="41" t="s">
        <v>39</v>
      </c>
      <c r="I14" s="41" t="s">
        <v>40</v>
      </c>
      <c r="J14" s="41" t="s">
        <v>41</v>
      </c>
      <c r="K14" s="41" t="s">
        <v>42</v>
      </c>
      <c r="L14" s="41" t="s">
        <v>43</v>
      </c>
      <c r="M14" s="65"/>
      <c r="N14" s="66"/>
    </row>
    <row r="15" spans="1:14" s="2" customFormat="1" x14ac:dyDescent="0.4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4">
      <c r="A16" s="3"/>
      <c r="B16" s="39"/>
      <c r="C16" s="63" t="s">
        <v>65</v>
      </c>
      <c r="D16" s="39"/>
      <c r="E16" s="39"/>
      <c r="F16" s="61"/>
      <c r="G16" s="61"/>
      <c r="H16" s="39"/>
      <c r="I16" s="39"/>
      <c r="J16" s="39"/>
      <c r="K16" s="39"/>
      <c r="L16" s="39"/>
      <c r="M16" s="40">
        <f>M17+M21+M27+M43+M60+M65+M69</f>
        <v>73.8</v>
      </c>
      <c r="N16" s="35"/>
    </row>
    <row r="17" spans="1:14" x14ac:dyDescent="0.4">
      <c r="B17" s="48" t="s">
        <v>66</v>
      </c>
      <c r="C17" s="49" t="s">
        <v>8</v>
      </c>
      <c r="D17" s="51">
        <f>SUM(D18:D19)</f>
        <v>0.1</v>
      </c>
      <c r="E17" s="51"/>
      <c r="F17" s="54"/>
      <c r="G17" s="54"/>
      <c r="H17" s="53"/>
      <c r="I17" s="53"/>
      <c r="J17" s="53"/>
      <c r="K17" s="53"/>
      <c r="L17" s="53"/>
      <c r="M17" s="54">
        <f>SUM(M18:M20)</f>
        <v>6</v>
      </c>
      <c r="N17" s="55"/>
    </row>
    <row r="18" spans="1:14" x14ac:dyDescent="0.4">
      <c r="A18" s="62" t="s">
        <v>102</v>
      </c>
      <c r="B18" s="18">
        <v>1</v>
      </c>
      <c r="C18" s="45" t="str">
        <f>VLOOKUP($A18,PERTANYAAN!$A$18:$E$71,3,0)</f>
        <v>Pengalaman di dalam Daniswara Group</v>
      </c>
      <c r="D18" s="46">
        <f>VLOOKUP($A18,PERTANYAAN!$A$18:$E$71,5,0)</f>
        <v>0.06</v>
      </c>
      <c r="E18" s="17"/>
      <c r="F18" s="16" t="s">
        <v>16</v>
      </c>
      <c r="G18" s="16"/>
      <c r="H18" s="11"/>
      <c r="I18" s="11"/>
      <c r="J18" s="11"/>
      <c r="K18" s="11"/>
      <c r="L18" s="11"/>
      <c r="M18" s="16">
        <f>IF(F18="V",D18*100,0)</f>
        <v>6</v>
      </c>
      <c r="N18" s="15"/>
    </row>
    <row r="19" spans="1:14" x14ac:dyDescent="0.4">
      <c r="A19" s="62" t="s">
        <v>103</v>
      </c>
      <c r="B19" s="18">
        <f>B18+1</f>
        <v>2</v>
      </c>
      <c r="C19" s="45" t="str">
        <f>VLOOKUP($A19,PERTANYAAN!$A$18:$E$71,3,0)</f>
        <v>Pengalaman di luar Daniswara Group</v>
      </c>
      <c r="D19" s="46">
        <f>VLOOKUP($A19,PERTANYAAN!$A$18:$E$71,5,0)</f>
        <v>0.04</v>
      </c>
      <c r="E19" s="17"/>
      <c r="F19" s="16"/>
      <c r="G19" s="16"/>
      <c r="H19" s="11"/>
      <c r="I19" s="11"/>
      <c r="J19" s="11"/>
      <c r="K19" s="11"/>
      <c r="L19" s="11"/>
      <c r="M19" s="16">
        <f>IF(F19="V",D19*100,0)</f>
        <v>0</v>
      </c>
      <c r="N19" s="15"/>
    </row>
    <row r="20" spans="1:14" x14ac:dyDescent="0.4">
      <c r="A20" s="1"/>
      <c r="B20" s="14"/>
      <c r="C20" s="15"/>
      <c r="D20" s="17"/>
      <c r="E20" s="17"/>
      <c r="F20" s="16"/>
      <c r="G20" s="16"/>
      <c r="H20" s="11"/>
      <c r="I20" s="11"/>
      <c r="J20" s="11"/>
      <c r="K20" s="11"/>
      <c r="L20" s="11"/>
      <c r="M20" s="16"/>
      <c r="N20" s="15"/>
    </row>
    <row r="21" spans="1:14" x14ac:dyDescent="0.4">
      <c r="A21" s="1"/>
      <c r="B21" s="48" t="s">
        <v>42</v>
      </c>
      <c r="C21" s="49" t="s">
        <v>9</v>
      </c>
      <c r="D21" s="51">
        <f>SUM(D22:D25)</f>
        <v>0.05</v>
      </c>
      <c r="E21" s="51"/>
      <c r="F21" s="54"/>
      <c r="G21" s="54"/>
      <c r="H21" s="53"/>
      <c r="I21" s="53"/>
      <c r="J21" s="53"/>
      <c r="K21" s="53"/>
      <c r="L21" s="53"/>
      <c r="M21" s="54">
        <f>SUM(M22:M25)</f>
        <v>5</v>
      </c>
      <c r="N21" s="55"/>
    </row>
    <row r="22" spans="1:14" x14ac:dyDescent="0.4">
      <c r="A22" s="62" t="s">
        <v>104</v>
      </c>
      <c r="B22" s="18">
        <v>1</v>
      </c>
      <c r="C22" s="45" t="str">
        <f>VLOOKUP($A22,PERTANYAAN!$A$18:$E$71,3,0)</f>
        <v>Identitas (KTP &amp; KK)</v>
      </c>
      <c r="D22" s="46">
        <f>VLOOKUP($A22,PERTANYAAN!$A$18:$E$71,5,0)</f>
        <v>0.01</v>
      </c>
      <c r="E22" s="17"/>
      <c r="F22" s="16" t="s">
        <v>16</v>
      </c>
      <c r="G22" s="16"/>
      <c r="H22" s="11"/>
      <c r="I22" s="11"/>
      <c r="J22" s="11"/>
      <c r="K22" s="11"/>
      <c r="L22" s="11"/>
      <c r="M22" s="16">
        <f>IF(F22="V",D22*100,0)</f>
        <v>1</v>
      </c>
      <c r="N22" s="15"/>
    </row>
    <row r="23" spans="1:14" x14ac:dyDescent="0.4">
      <c r="A23" s="62" t="s">
        <v>105</v>
      </c>
      <c r="B23" s="18">
        <f>B22+1</f>
        <v>2</v>
      </c>
      <c r="C23" s="45" t="str">
        <f>VLOOKUP($A23,PERTANYAAN!$A$18:$E$71,3,0)</f>
        <v>SIM A (utk jabatan di Divisi Operasi)</v>
      </c>
      <c r="D23" s="46">
        <f>VLOOKUP($A23,PERTANYAAN!$A$18:$E$71,5,0)</f>
        <v>0.02</v>
      </c>
      <c r="E23" s="17"/>
      <c r="F23" s="16" t="s">
        <v>16</v>
      </c>
      <c r="G23" s="16"/>
      <c r="H23" s="11"/>
      <c r="I23" s="11"/>
      <c r="J23" s="11"/>
      <c r="K23" s="11"/>
      <c r="L23" s="11"/>
      <c r="M23" s="16">
        <f>IF(F23="V",D23*100,0)</f>
        <v>2</v>
      </c>
      <c r="N23" s="15"/>
    </row>
    <row r="24" spans="1:14" x14ac:dyDescent="0.4">
      <c r="A24" s="62" t="s">
        <v>106</v>
      </c>
      <c r="B24" s="18">
        <f t="shared" ref="B24:B25" si="0">B23+1</f>
        <v>3</v>
      </c>
      <c r="C24" s="45" t="str">
        <f>VLOOKUP($A24,PERTANYAAN!$A$18:$E$71,3,0)</f>
        <v>SIM C</v>
      </c>
      <c r="D24" s="46">
        <f>VLOOKUP($A24,PERTANYAAN!$A$18:$E$71,5,0)</f>
        <v>0.01</v>
      </c>
      <c r="E24" s="17"/>
      <c r="F24" s="16" t="s">
        <v>16</v>
      </c>
      <c r="G24" s="16"/>
      <c r="H24" s="11"/>
      <c r="I24" s="11"/>
      <c r="J24" s="11"/>
      <c r="K24" s="11"/>
      <c r="L24" s="11"/>
      <c r="M24" s="16">
        <f>IF(F24="V",D24*100,0)</f>
        <v>1</v>
      </c>
      <c r="N24" s="15"/>
    </row>
    <row r="25" spans="1:14" x14ac:dyDescent="0.4">
      <c r="A25" s="62" t="s">
        <v>107</v>
      </c>
      <c r="B25" s="18">
        <f t="shared" si="0"/>
        <v>4</v>
      </c>
      <c r="C25" s="45" t="str">
        <f>VLOOKUP($A25,PERTANYAAN!$A$18:$E$71,3,0)</f>
        <v>NPWP</v>
      </c>
      <c r="D25" s="46">
        <f>VLOOKUP($A25,PERTANYAAN!$A$18:$E$71,5,0)</f>
        <v>0.01</v>
      </c>
      <c r="E25" s="17"/>
      <c r="F25" s="16" t="s">
        <v>16</v>
      </c>
      <c r="G25" s="16"/>
      <c r="H25" s="11"/>
      <c r="I25" s="11"/>
      <c r="J25" s="11"/>
      <c r="K25" s="11"/>
      <c r="L25" s="11"/>
      <c r="M25" s="16">
        <f>IF(F25="V",D25*100,0)</f>
        <v>1</v>
      </c>
      <c r="N25" s="15"/>
    </row>
    <row r="26" spans="1:14" x14ac:dyDescent="0.4">
      <c r="A26" s="1"/>
      <c r="B26" s="14"/>
      <c r="C26" s="15"/>
      <c r="D26" s="17"/>
      <c r="E26" s="17"/>
      <c r="F26" s="16"/>
      <c r="G26" s="16"/>
      <c r="H26" s="11"/>
      <c r="I26" s="11"/>
      <c r="J26" s="11"/>
      <c r="K26" s="11"/>
      <c r="L26" s="11"/>
      <c r="M26" s="16"/>
      <c r="N26" s="15"/>
    </row>
    <row r="27" spans="1:14" x14ac:dyDescent="0.4">
      <c r="A27" s="1"/>
      <c r="B27" s="48" t="s">
        <v>97</v>
      </c>
      <c r="C27" s="49" t="s">
        <v>21</v>
      </c>
      <c r="D27" s="51">
        <f>D28</f>
        <v>0.35000000000000003</v>
      </c>
      <c r="E27" s="57"/>
      <c r="F27" s="60"/>
      <c r="G27" s="60"/>
      <c r="H27" s="53"/>
      <c r="I27" s="53"/>
      <c r="J27" s="53"/>
      <c r="K27" s="53"/>
      <c r="L27" s="53"/>
      <c r="M27" s="54">
        <f>M28</f>
        <v>24.5</v>
      </c>
      <c r="N27" s="55"/>
    </row>
    <row r="28" spans="1:14" x14ac:dyDescent="0.4">
      <c r="A28" s="62" t="s">
        <v>108</v>
      </c>
      <c r="B28" s="18">
        <v>1</v>
      </c>
      <c r="C28" s="45" t="str">
        <f>VLOOKUP($A28,PERTANYAAN!$A$18:$E$71,3,0)</f>
        <v>Operasi / Logistik</v>
      </c>
      <c r="D28" s="46">
        <f>VLOOKUP($A28,PERTANYAAN!$A$18:$E$71,5,0)</f>
        <v>0.35000000000000003</v>
      </c>
      <c r="E28" s="17"/>
      <c r="F28" s="16"/>
      <c r="G28" s="16"/>
      <c r="H28" s="11"/>
      <c r="I28" s="11"/>
      <c r="J28" s="11"/>
      <c r="K28" s="11"/>
      <c r="L28" s="11"/>
      <c r="M28" s="16">
        <f>SUM(M29:M33)</f>
        <v>24.5</v>
      </c>
      <c r="N28" s="15"/>
    </row>
    <row r="29" spans="1:14" x14ac:dyDescent="0.4">
      <c r="A29" s="62" t="s">
        <v>109</v>
      </c>
      <c r="B29" s="18" t="s">
        <v>6</v>
      </c>
      <c r="C29" s="45" t="str">
        <f>VLOOKUP($A29,PERTANYAAN!$A$18:$E$71,3,0)</f>
        <v>Skill Mengemudi</v>
      </c>
      <c r="D29" s="46">
        <f>VLOOKUP($A29,PERTANYAAN!$A$18:$E$71,5,0)</f>
        <v>0.15</v>
      </c>
      <c r="E29" s="17"/>
      <c r="F29" s="16"/>
      <c r="G29" s="16"/>
      <c r="H29" s="11"/>
      <c r="I29" s="11"/>
      <c r="J29" s="11"/>
      <c r="K29" s="11" t="s">
        <v>16</v>
      </c>
      <c r="L29" s="11"/>
      <c r="M29" s="16">
        <f>IF(H29="V",$D29*H$15,IF(I29="V",$D29*I$15,IF(J29="V",$D29*J$15,IF(K29="V",$D29*K$15,IF(L29="V",$D29*L$15,0)))))*100</f>
        <v>12</v>
      </c>
      <c r="N29" s="15"/>
    </row>
    <row r="30" spans="1:14" x14ac:dyDescent="0.4">
      <c r="A30" s="62" t="s">
        <v>110</v>
      </c>
      <c r="B30" s="18" t="s">
        <v>6</v>
      </c>
      <c r="C30" s="45" t="str">
        <f>VLOOKUP($A30,PERTANYAAN!$A$18:$E$71,3,0)</f>
        <v>Flow Administrasi Logistik</v>
      </c>
      <c r="D30" s="46">
        <f>VLOOKUP($A30,PERTANYAAN!$A$18:$E$71,5,0)</f>
        <v>0.1</v>
      </c>
      <c r="E30" s="17"/>
      <c r="F30" s="16"/>
      <c r="G30" s="16"/>
      <c r="H30" s="11"/>
      <c r="I30" s="11"/>
      <c r="J30" s="11" t="s">
        <v>16</v>
      </c>
      <c r="K30" s="11"/>
      <c r="L30" s="11"/>
      <c r="M30" s="16">
        <f t="shared" ref="M30:M32" si="1">IF(H30="V",$D30*H$15,IF(I30="V",$D30*I$15,IF(J30="V",$D30*J$15,IF(K30="V",$D30*K$15,IF(L30="V",$D30*L$15,0)))))*100</f>
        <v>6</v>
      </c>
      <c r="N30" s="15"/>
    </row>
    <row r="31" spans="1:14" x14ac:dyDescent="0.4">
      <c r="A31" s="62" t="s">
        <v>111</v>
      </c>
      <c r="B31" s="18" t="s">
        <v>6</v>
      </c>
      <c r="C31" s="45" t="str">
        <f>VLOOKUP($A31,PERTANYAAN!$A$18:$E$71,3,0)</f>
        <v>Pengetahuan terkait logistik</v>
      </c>
      <c r="D31" s="46">
        <f>VLOOKUP($A31,PERTANYAAN!$A$18:$E$71,5,0)</f>
        <v>2.5000000000000001E-2</v>
      </c>
      <c r="E31" s="17"/>
      <c r="F31" s="16"/>
      <c r="G31" s="16"/>
      <c r="H31" s="11"/>
      <c r="I31" s="11"/>
      <c r="J31" s="11"/>
      <c r="K31" s="11" t="s">
        <v>16</v>
      </c>
      <c r="L31" s="11"/>
      <c r="M31" s="16">
        <f t="shared" si="1"/>
        <v>2.0000000000000004</v>
      </c>
      <c r="N31" s="15"/>
    </row>
    <row r="32" spans="1:14" x14ac:dyDescent="0.4">
      <c r="A32" s="62" t="s">
        <v>112</v>
      </c>
      <c r="B32" s="18" t="s">
        <v>6</v>
      </c>
      <c r="C32" s="45" t="str">
        <f>VLOOKUP($A32,PERTANYAAN!$A$18:$E$71,3,0)</f>
        <v>Pengalaman di Bongkar Muat</v>
      </c>
      <c r="D32" s="46">
        <f>VLOOKUP($A32,PERTANYAAN!$A$18:$E$71,5,0)</f>
        <v>7.4999999999999997E-2</v>
      </c>
      <c r="E32" s="17"/>
      <c r="F32" s="16"/>
      <c r="G32" s="16"/>
      <c r="H32" s="11"/>
      <c r="I32" s="11"/>
      <c r="J32" s="11" t="s">
        <v>16</v>
      </c>
      <c r="K32" s="11"/>
      <c r="L32" s="11"/>
      <c r="M32" s="16">
        <f t="shared" si="1"/>
        <v>4.5</v>
      </c>
      <c r="N32" s="15"/>
    </row>
    <row r="33" spans="1:14" x14ac:dyDescent="0.4">
      <c r="A33" s="1"/>
      <c r="B33" s="18"/>
      <c r="C33" s="15"/>
      <c r="D33" s="17"/>
      <c r="E33" s="17"/>
      <c r="F33" s="16"/>
      <c r="G33" s="16"/>
      <c r="H33" s="11"/>
      <c r="I33" s="11"/>
      <c r="J33" s="11"/>
      <c r="K33" s="11"/>
      <c r="L33" s="11"/>
      <c r="M33" s="16"/>
      <c r="N33" s="15"/>
    </row>
    <row r="34" spans="1:14" hidden="1" outlineLevel="1" x14ac:dyDescent="0.4">
      <c r="A34" s="1"/>
      <c r="B34" s="18">
        <f>B28+1</f>
        <v>2</v>
      </c>
      <c r="C34" s="15" t="s">
        <v>22</v>
      </c>
      <c r="D34" s="17">
        <f>SUM(D35:D37)</f>
        <v>0.35</v>
      </c>
      <c r="E34" s="17"/>
      <c r="F34" s="16"/>
      <c r="G34" s="16"/>
      <c r="H34" s="11"/>
      <c r="I34" s="11"/>
      <c r="J34" s="11"/>
      <c r="K34" s="11"/>
      <c r="L34" s="11"/>
      <c r="M34" s="16"/>
      <c r="N34" s="15"/>
    </row>
    <row r="35" spans="1:14" hidden="1" outlineLevel="1" x14ac:dyDescent="0.4">
      <c r="A35" s="1"/>
      <c r="B35" s="18" t="s">
        <v>6</v>
      </c>
      <c r="C35" s="15" t="s">
        <v>44</v>
      </c>
      <c r="D35" s="17">
        <v>0.15</v>
      </c>
      <c r="E35" s="17"/>
      <c r="F35" s="16"/>
      <c r="G35" s="16"/>
      <c r="H35" s="11"/>
      <c r="I35" s="11"/>
      <c r="J35" s="11"/>
      <c r="K35" s="11"/>
      <c r="L35" s="11"/>
      <c r="M35" s="16"/>
      <c r="N35" s="15"/>
    </row>
    <row r="36" spans="1:14" hidden="1" outlineLevel="1" x14ac:dyDescent="0.4">
      <c r="A36" s="1"/>
      <c r="B36" s="18" t="s">
        <v>6</v>
      </c>
      <c r="C36" s="15" t="s">
        <v>50</v>
      </c>
      <c r="D36" s="17">
        <v>0.2</v>
      </c>
      <c r="E36" s="17"/>
      <c r="F36" s="16"/>
      <c r="G36" s="16"/>
      <c r="H36" s="11"/>
      <c r="I36" s="11"/>
      <c r="J36" s="11"/>
      <c r="K36" s="11"/>
      <c r="L36" s="11"/>
      <c r="M36" s="16"/>
      <c r="N36" s="15"/>
    </row>
    <row r="37" spans="1:14" hidden="1" outlineLevel="1" x14ac:dyDescent="0.4">
      <c r="A37" s="1"/>
      <c r="B37" s="18"/>
      <c r="C37" s="15"/>
      <c r="D37" s="17"/>
      <c r="E37" s="17"/>
      <c r="F37" s="16"/>
      <c r="G37" s="16"/>
      <c r="H37" s="11"/>
      <c r="I37" s="11"/>
      <c r="J37" s="11"/>
      <c r="K37" s="11"/>
      <c r="L37" s="11"/>
      <c r="M37" s="16"/>
      <c r="N37" s="15"/>
    </row>
    <row r="38" spans="1:14" hidden="1" outlineLevel="1" x14ac:dyDescent="0.4">
      <c r="A38" s="1"/>
      <c r="B38" s="14">
        <v>3</v>
      </c>
      <c r="C38" s="15" t="s">
        <v>23</v>
      </c>
      <c r="D38" s="17"/>
      <c r="E38" s="17"/>
      <c r="F38" s="16"/>
      <c r="G38" s="16"/>
      <c r="H38" s="11"/>
      <c r="I38" s="11"/>
      <c r="J38" s="11"/>
      <c r="K38" s="11"/>
      <c r="L38" s="11"/>
      <c r="M38" s="16"/>
      <c r="N38" s="15"/>
    </row>
    <row r="39" spans="1:14" hidden="1" outlineLevel="1" x14ac:dyDescent="0.4">
      <c r="A39" s="1"/>
      <c r="B39" s="18" t="s">
        <v>6</v>
      </c>
      <c r="C39" s="15" t="s">
        <v>52</v>
      </c>
      <c r="D39" s="17"/>
      <c r="E39" s="17"/>
      <c r="F39" s="16"/>
      <c r="G39" s="16"/>
      <c r="H39" s="11"/>
      <c r="I39" s="11"/>
      <c r="J39" s="11"/>
      <c r="K39" s="11"/>
      <c r="L39" s="11"/>
      <c r="M39" s="16"/>
      <c r="N39" s="15"/>
    </row>
    <row r="40" spans="1:14" hidden="1" outlineLevel="1" x14ac:dyDescent="0.4">
      <c r="A40" s="1"/>
      <c r="B40" s="18" t="s">
        <v>6</v>
      </c>
      <c r="C40" s="15" t="s">
        <v>53</v>
      </c>
      <c r="D40" s="17"/>
      <c r="E40" s="17"/>
      <c r="F40" s="16"/>
      <c r="G40" s="16"/>
      <c r="H40" s="11"/>
      <c r="I40" s="11"/>
      <c r="J40" s="11"/>
      <c r="K40" s="11"/>
      <c r="L40" s="11"/>
      <c r="M40" s="16"/>
      <c r="N40" s="15"/>
    </row>
    <row r="41" spans="1:14" hidden="1" outlineLevel="1" x14ac:dyDescent="0.4">
      <c r="A41" s="1"/>
      <c r="B41" s="18" t="s">
        <v>6</v>
      </c>
      <c r="C41" s="15"/>
      <c r="D41" s="17"/>
      <c r="E41" s="17"/>
      <c r="F41" s="16"/>
      <c r="G41" s="16"/>
      <c r="H41" s="11"/>
      <c r="I41" s="11"/>
      <c r="J41" s="11"/>
      <c r="K41" s="11"/>
      <c r="L41" s="11"/>
      <c r="M41" s="16"/>
      <c r="N41" s="15"/>
    </row>
    <row r="42" spans="1:14" hidden="1" outlineLevel="1" x14ac:dyDescent="0.4">
      <c r="A42" s="1"/>
      <c r="B42" s="14"/>
      <c r="C42" s="15"/>
      <c r="D42" s="17"/>
      <c r="E42" s="17"/>
      <c r="F42" s="16"/>
      <c r="G42" s="16"/>
      <c r="H42" s="11"/>
      <c r="I42" s="11"/>
      <c r="J42" s="11"/>
      <c r="K42" s="11"/>
      <c r="L42" s="11"/>
      <c r="M42" s="16"/>
      <c r="N42" s="15"/>
    </row>
    <row r="43" spans="1:14" s="2" customFormat="1" collapsed="1" x14ac:dyDescent="0.4">
      <c r="A43" s="3"/>
      <c r="B43" s="48" t="s">
        <v>98</v>
      </c>
      <c r="C43" s="49" t="s">
        <v>24</v>
      </c>
      <c r="D43" s="51">
        <f>D44</f>
        <v>0.25</v>
      </c>
      <c r="E43" s="51"/>
      <c r="F43" s="54"/>
      <c r="G43" s="54"/>
      <c r="H43" s="59"/>
      <c r="I43" s="59"/>
      <c r="J43" s="59"/>
      <c r="K43" s="59"/>
      <c r="L43" s="59"/>
      <c r="M43" s="54">
        <f>M44</f>
        <v>17.5</v>
      </c>
      <c r="N43" s="49"/>
    </row>
    <row r="44" spans="1:14" x14ac:dyDescent="0.4">
      <c r="A44" s="1" t="s">
        <v>113</v>
      </c>
      <c r="B44" s="14">
        <v>1</v>
      </c>
      <c r="C44" s="45" t="str">
        <f>VLOOKUP($A44,PERTANYAAN!$A$18:$E$71,3,0)</f>
        <v>Staff</v>
      </c>
      <c r="D44" s="46">
        <f>VLOOKUP($A44,PERTANYAAN!$A$18:$E$71,5,0)</f>
        <v>0.25</v>
      </c>
      <c r="E44" s="17"/>
      <c r="F44" s="16"/>
      <c r="G44" s="16"/>
      <c r="H44" s="11"/>
      <c r="I44" s="11"/>
      <c r="J44" s="11"/>
      <c r="K44" s="11"/>
      <c r="L44" s="11"/>
      <c r="M44" s="16">
        <f>SUM(M45:M48)</f>
        <v>17.5</v>
      </c>
      <c r="N44" s="15"/>
    </row>
    <row r="45" spans="1:14" x14ac:dyDescent="0.4">
      <c r="A45" s="62" t="s">
        <v>114</v>
      </c>
      <c r="B45" s="18" t="s">
        <v>6</v>
      </c>
      <c r="C45" s="45" t="str">
        <f>VLOOKUP($A45,PERTANYAAN!$A$18:$E$71,3,0)</f>
        <v>Kepemimpinan</v>
      </c>
      <c r="D45" s="46">
        <f>VLOOKUP($A45,PERTANYAAN!$A$18:$E$71,5,0)</f>
        <v>2.5000000000000001E-2</v>
      </c>
      <c r="E45" s="17"/>
      <c r="F45" s="16"/>
      <c r="G45" s="16"/>
      <c r="H45" s="11"/>
      <c r="I45" s="11"/>
      <c r="J45" s="11" t="s">
        <v>16</v>
      </c>
      <c r="K45" s="11"/>
      <c r="L45" s="11"/>
      <c r="M45" s="16">
        <f>IF(H45="V",$D45*H$15,IF(I45="V",$D45*I$15,IF(J45="V",$D45*J$15,IF(K45="V",$D45*K$15,IF(L45="V",$D45*L$15,0)))))*100</f>
        <v>1.5</v>
      </c>
      <c r="N45" s="15"/>
    </row>
    <row r="46" spans="1:14" x14ac:dyDescent="0.4">
      <c r="A46" s="62" t="s">
        <v>115</v>
      </c>
      <c r="B46" s="18" t="s">
        <v>6</v>
      </c>
      <c r="C46" s="45" t="str">
        <f>VLOOKUP($A46,PERTANYAAN!$A$18:$E$71,3,0)</f>
        <v>Komunikasi</v>
      </c>
      <c r="D46" s="46">
        <f>VLOOKUP($A46,PERTANYAAN!$A$18:$E$71,5,0)</f>
        <v>0.1</v>
      </c>
      <c r="E46" s="17"/>
      <c r="F46" s="16"/>
      <c r="G46" s="16"/>
      <c r="H46" s="11"/>
      <c r="I46" s="11"/>
      <c r="J46" s="11" t="s">
        <v>16</v>
      </c>
      <c r="K46" s="11"/>
      <c r="L46" s="11"/>
      <c r="M46" s="16">
        <f>IF(H46="V",$D46*H$15,IF(I46="V",$D46*I$15,IF(J46="V",$D46*J$15,IF(K46="V",$D46*K$15,IF(L46="V",$D46*L$15,0)))))*100</f>
        <v>6</v>
      </c>
      <c r="N46" s="15"/>
    </row>
    <row r="47" spans="1:14" x14ac:dyDescent="0.4">
      <c r="A47" s="62" t="s">
        <v>116</v>
      </c>
      <c r="B47" s="18" t="s">
        <v>6</v>
      </c>
      <c r="C47" s="45" t="str">
        <f>VLOOKUP($A47,PERTANYAAN!$A$18:$E$71,3,0)</f>
        <v>Patuh pada Peraturan / Commitment</v>
      </c>
      <c r="D47" s="46">
        <f>VLOOKUP($A47,PERTANYAAN!$A$18:$E$71,5,0)</f>
        <v>0.05</v>
      </c>
      <c r="E47" s="17"/>
      <c r="F47" s="16"/>
      <c r="G47" s="16"/>
      <c r="H47" s="11"/>
      <c r="I47" s="11"/>
      <c r="J47" s="11"/>
      <c r="K47" s="11" t="s">
        <v>16</v>
      </c>
      <c r="L47" s="11"/>
      <c r="M47" s="16">
        <f>IF(H47="V",$D47*H$15,IF(I47="V",$D47*I$15,IF(J47="V",$D47*J$15,IF(K47="V",$D47*K$15,IF(L47="V",$D47*L$15,0)))))*100</f>
        <v>4.0000000000000009</v>
      </c>
      <c r="N47" s="15"/>
    </row>
    <row r="48" spans="1:14" x14ac:dyDescent="0.4">
      <c r="A48" s="62" t="s">
        <v>117</v>
      </c>
      <c r="B48" s="18" t="s">
        <v>6</v>
      </c>
      <c r="C48" s="45" t="str">
        <f>VLOOKUP($A48,PERTANYAAN!$A$18:$E$71,3,0)</f>
        <v>Determinasi thd tekanan</v>
      </c>
      <c r="D48" s="46">
        <f>VLOOKUP($A48,PERTANYAAN!$A$18:$E$71,5,0)</f>
        <v>7.4999999999999997E-2</v>
      </c>
      <c r="E48" s="17"/>
      <c r="F48" s="16"/>
      <c r="G48" s="16"/>
      <c r="H48" s="11"/>
      <c r="I48" s="11"/>
      <c r="J48" s="11"/>
      <c r="K48" s="11" t="s">
        <v>16</v>
      </c>
      <c r="L48" s="11"/>
      <c r="M48" s="16">
        <f>IF(H48="V",$D48*H$15,IF(I48="V",$D48*I$15,IF(J48="V",$D48*J$15,IF(K48="V",$D48*K$15,IF(L48="V",$D48*L$15,0)))))*100</f>
        <v>6</v>
      </c>
      <c r="N48" s="15"/>
    </row>
    <row r="49" spans="1:14" x14ac:dyDescent="0.4">
      <c r="A49" s="1"/>
      <c r="B49" s="18"/>
      <c r="C49" s="15"/>
      <c r="D49" s="17"/>
      <c r="E49" s="17"/>
      <c r="F49" s="16"/>
      <c r="G49" s="16"/>
      <c r="H49" s="11"/>
      <c r="I49" s="11"/>
      <c r="J49" s="11"/>
      <c r="K49" s="11"/>
      <c r="L49" s="11"/>
      <c r="M49" s="16"/>
      <c r="N49" s="15"/>
    </row>
    <row r="50" spans="1:14" hidden="1" outlineLevel="1" x14ac:dyDescent="0.4">
      <c r="A50" s="1"/>
      <c r="B50" s="14">
        <v>2</v>
      </c>
      <c r="C50" s="15" t="s">
        <v>26</v>
      </c>
      <c r="D50" s="17"/>
      <c r="E50" s="17"/>
      <c r="F50" s="16"/>
      <c r="G50" s="16"/>
      <c r="H50" s="11"/>
      <c r="I50" s="11"/>
      <c r="J50" s="11"/>
      <c r="K50" s="11"/>
      <c r="L50" s="11"/>
      <c r="M50" s="16"/>
      <c r="N50" s="15"/>
    </row>
    <row r="51" spans="1:14" hidden="1" outlineLevel="1" x14ac:dyDescent="0.4">
      <c r="A51" s="1"/>
      <c r="B51" s="18" t="s">
        <v>6</v>
      </c>
      <c r="C51" s="15" t="s">
        <v>54</v>
      </c>
      <c r="D51" s="17"/>
      <c r="E51" s="17"/>
      <c r="F51" s="16"/>
      <c r="G51" s="16"/>
      <c r="H51" s="11"/>
      <c r="I51" s="11"/>
      <c r="J51" s="11"/>
      <c r="K51" s="11"/>
      <c r="L51" s="11"/>
      <c r="M51" s="16"/>
      <c r="N51" s="15"/>
    </row>
    <row r="52" spans="1:14" hidden="1" outlineLevel="1" x14ac:dyDescent="0.4">
      <c r="A52" s="1"/>
      <c r="B52" s="18" t="s">
        <v>6</v>
      </c>
      <c r="C52" s="15" t="s">
        <v>55</v>
      </c>
      <c r="D52" s="17"/>
      <c r="E52" s="17"/>
      <c r="F52" s="16"/>
      <c r="G52" s="16"/>
      <c r="H52" s="11"/>
      <c r="I52" s="11"/>
      <c r="J52" s="11"/>
      <c r="K52" s="11"/>
      <c r="L52" s="11"/>
      <c r="M52" s="16"/>
      <c r="N52" s="15"/>
    </row>
    <row r="53" spans="1:14" hidden="1" outlineLevel="1" x14ac:dyDescent="0.4">
      <c r="A53" s="1"/>
      <c r="B53" s="18" t="s">
        <v>6</v>
      </c>
      <c r="C53" s="15" t="s">
        <v>56</v>
      </c>
      <c r="D53" s="17"/>
      <c r="E53" s="17"/>
      <c r="F53" s="16"/>
      <c r="G53" s="16"/>
      <c r="H53" s="11"/>
      <c r="I53" s="11"/>
      <c r="J53" s="11"/>
      <c r="K53" s="11"/>
      <c r="L53" s="11"/>
      <c r="M53" s="16"/>
      <c r="N53" s="15"/>
    </row>
    <row r="54" spans="1:14" hidden="1" outlineLevel="1" x14ac:dyDescent="0.4">
      <c r="A54" s="1"/>
      <c r="B54" s="18"/>
      <c r="C54" s="15"/>
      <c r="D54" s="17"/>
      <c r="E54" s="17"/>
      <c r="F54" s="16"/>
      <c r="G54" s="16"/>
      <c r="H54" s="11"/>
      <c r="I54" s="11"/>
      <c r="J54" s="11"/>
      <c r="K54" s="11"/>
      <c r="L54" s="11"/>
      <c r="M54" s="16"/>
      <c r="N54" s="15"/>
    </row>
    <row r="55" spans="1:14" hidden="1" outlineLevel="1" x14ac:dyDescent="0.4">
      <c r="A55" s="1"/>
      <c r="B55" s="14">
        <v>3</v>
      </c>
      <c r="C55" s="15" t="s">
        <v>27</v>
      </c>
      <c r="D55" s="17"/>
      <c r="E55" s="17"/>
      <c r="F55" s="16"/>
      <c r="G55" s="16"/>
      <c r="H55" s="11"/>
      <c r="I55" s="11"/>
      <c r="J55" s="11"/>
      <c r="K55" s="11"/>
      <c r="L55" s="11"/>
      <c r="M55" s="16"/>
      <c r="N55" s="15"/>
    </row>
    <row r="56" spans="1:14" hidden="1" outlineLevel="1" x14ac:dyDescent="0.4">
      <c r="A56" s="1"/>
      <c r="B56" s="18" t="s">
        <v>6</v>
      </c>
      <c r="C56" s="15" t="s">
        <v>54</v>
      </c>
      <c r="D56" s="17"/>
      <c r="E56" s="17"/>
      <c r="F56" s="16"/>
      <c r="G56" s="16"/>
      <c r="H56" s="11"/>
      <c r="I56" s="11"/>
      <c r="J56" s="11"/>
      <c r="K56" s="11"/>
      <c r="L56" s="11"/>
      <c r="M56" s="16"/>
      <c r="N56" s="15"/>
    </row>
    <row r="57" spans="1:14" hidden="1" outlineLevel="1" x14ac:dyDescent="0.4">
      <c r="A57" s="1"/>
      <c r="B57" s="18" t="s">
        <v>6</v>
      </c>
      <c r="C57" s="15" t="s">
        <v>56</v>
      </c>
      <c r="D57" s="17"/>
      <c r="E57" s="17"/>
      <c r="F57" s="16"/>
      <c r="G57" s="16"/>
      <c r="H57" s="11"/>
      <c r="I57" s="11"/>
      <c r="J57" s="11"/>
      <c r="K57" s="11"/>
      <c r="L57" s="11"/>
      <c r="M57" s="16"/>
      <c r="N57" s="15"/>
    </row>
    <row r="58" spans="1:14" hidden="1" outlineLevel="1" x14ac:dyDescent="0.4">
      <c r="A58" s="1"/>
      <c r="B58" s="18" t="s">
        <v>6</v>
      </c>
      <c r="C58" s="15" t="s">
        <v>57</v>
      </c>
      <c r="D58" s="17"/>
      <c r="E58" s="17"/>
      <c r="F58" s="16"/>
      <c r="G58" s="16"/>
      <c r="H58" s="11"/>
      <c r="I58" s="11"/>
      <c r="J58" s="11"/>
      <c r="K58" s="11"/>
      <c r="L58" s="11"/>
      <c r="M58" s="16"/>
      <c r="N58" s="15"/>
    </row>
    <row r="59" spans="1:14" hidden="1" outlineLevel="1" x14ac:dyDescent="0.4">
      <c r="A59" s="1"/>
      <c r="B59" s="14"/>
      <c r="C59" s="15"/>
      <c r="D59" s="17"/>
      <c r="E59" s="17"/>
      <c r="F59" s="16"/>
      <c r="G59" s="16"/>
      <c r="H59" s="11"/>
      <c r="I59" s="11"/>
      <c r="J59" s="11"/>
      <c r="K59" s="11"/>
      <c r="L59" s="11"/>
      <c r="M59" s="16"/>
      <c r="N59" s="15"/>
    </row>
    <row r="60" spans="1:14" s="2" customFormat="1" collapsed="1" x14ac:dyDescent="0.4">
      <c r="A60" s="3"/>
      <c r="B60" s="48" t="s">
        <v>99</v>
      </c>
      <c r="C60" s="49" t="s">
        <v>46</v>
      </c>
      <c r="D60" s="51">
        <f>SUM(D61:D64)</f>
        <v>0.15</v>
      </c>
      <c r="E60" s="51"/>
      <c r="F60" s="54"/>
      <c r="G60" s="54"/>
      <c r="H60" s="59"/>
      <c r="I60" s="59"/>
      <c r="J60" s="59"/>
      <c r="K60" s="59"/>
      <c r="L60" s="59"/>
      <c r="M60" s="54">
        <f>SUM(M61:M64)</f>
        <v>12</v>
      </c>
      <c r="N60" s="49"/>
    </row>
    <row r="61" spans="1:14" x14ac:dyDescent="0.4">
      <c r="A61" s="62" t="s">
        <v>118</v>
      </c>
      <c r="B61" s="18" t="s">
        <v>6</v>
      </c>
      <c r="C61" s="45" t="str">
        <f>VLOOKUP($A61,PERTANYAAN!$A$18:$E$71,3,0)</f>
        <v>Antusiasme / Keinginan bergabung</v>
      </c>
      <c r="D61" s="46">
        <f>VLOOKUP($A61,PERTANYAAN!$A$18:$E$71,5,0)</f>
        <v>7.4999999999999997E-2</v>
      </c>
      <c r="E61" s="17"/>
      <c r="F61" s="16"/>
      <c r="G61" s="16"/>
      <c r="H61" s="11"/>
      <c r="I61" s="11"/>
      <c r="J61" s="11"/>
      <c r="K61" s="11" t="s">
        <v>16</v>
      </c>
      <c r="L61" s="11"/>
      <c r="M61" s="16">
        <f t="shared" ref="M61:M63" si="2">IF(H61="V",$D61*H$15,IF(I61="V",$D61*I$15,IF(J61="V",$D61*J$15,IF(K61="V",$D61*K$15,IF(L61="V",$D61*L$15,0)))))*100</f>
        <v>6</v>
      </c>
      <c r="N61" s="15"/>
    </row>
    <row r="62" spans="1:14" x14ac:dyDescent="0.4">
      <c r="A62" s="62" t="s">
        <v>119</v>
      </c>
      <c r="B62" s="18" t="s">
        <v>6</v>
      </c>
      <c r="C62" s="45" t="str">
        <f>VLOOKUP($A62,PERTANYAAN!$A$18:$E$71,3,0)</f>
        <v>Inisiatif</v>
      </c>
      <c r="D62" s="46">
        <f>VLOOKUP($A62,PERTANYAAN!$A$18:$E$71,5,0)</f>
        <v>0.05</v>
      </c>
      <c r="E62" s="17"/>
      <c r="F62" s="16"/>
      <c r="G62" s="16"/>
      <c r="H62" s="11"/>
      <c r="I62" s="11"/>
      <c r="J62" s="11"/>
      <c r="K62" s="11" t="s">
        <v>16</v>
      </c>
      <c r="L62" s="11"/>
      <c r="M62" s="16">
        <f t="shared" si="2"/>
        <v>4.0000000000000009</v>
      </c>
      <c r="N62" s="15"/>
    </row>
    <row r="63" spans="1:14" x14ac:dyDescent="0.4">
      <c r="A63" s="62" t="s">
        <v>120</v>
      </c>
      <c r="B63" s="18" t="s">
        <v>6</v>
      </c>
      <c r="C63" s="45" t="str">
        <f>VLOOKUP($A63,PERTANYAAN!$A$18:$E$71,3,0)</f>
        <v>Adaptif</v>
      </c>
      <c r="D63" s="46">
        <f>VLOOKUP($A63,PERTANYAAN!$A$18:$E$71,5,0)</f>
        <v>2.5000000000000001E-2</v>
      </c>
      <c r="E63" s="17"/>
      <c r="F63" s="16"/>
      <c r="G63" s="16"/>
      <c r="H63" s="11"/>
      <c r="I63" s="11"/>
      <c r="J63" s="11"/>
      <c r="K63" s="11" t="s">
        <v>16</v>
      </c>
      <c r="L63" s="11"/>
      <c r="M63" s="16">
        <f t="shared" si="2"/>
        <v>2.0000000000000004</v>
      </c>
      <c r="N63" s="15"/>
    </row>
    <row r="64" spans="1:14" x14ac:dyDescent="0.4">
      <c r="A64" s="1"/>
      <c r="B64" s="14"/>
      <c r="C64" s="15"/>
      <c r="D64" s="17"/>
      <c r="E64" s="17"/>
      <c r="F64" s="16"/>
      <c r="G64" s="16"/>
      <c r="H64" s="11"/>
      <c r="I64" s="11"/>
      <c r="J64" s="11"/>
      <c r="K64" s="11"/>
      <c r="L64" s="11"/>
      <c r="M64" s="16"/>
      <c r="N64" s="15"/>
    </row>
    <row r="65" spans="1:14" s="2" customFormat="1" x14ac:dyDescent="0.4">
      <c r="A65" s="3"/>
      <c r="B65" s="48" t="s">
        <v>100</v>
      </c>
      <c r="C65" s="49" t="s">
        <v>48</v>
      </c>
      <c r="D65" s="51">
        <f>SUM(D66:D68)</f>
        <v>0.05</v>
      </c>
      <c r="E65" s="51"/>
      <c r="F65" s="54"/>
      <c r="G65" s="54"/>
      <c r="H65" s="59"/>
      <c r="I65" s="59"/>
      <c r="J65" s="59"/>
      <c r="K65" s="59"/>
      <c r="L65" s="59"/>
      <c r="M65" s="54">
        <f>SUM(M66:M68)</f>
        <v>4.8</v>
      </c>
      <c r="N65" s="49"/>
    </row>
    <row r="66" spans="1:14" x14ac:dyDescent="0.4">
      <c r="A66" s="62" t="s">
        <v>121</v>
      </c>
      <c r="B66" s="18" t="s">
        <v>6</v>
      </c>
      <c r="C66" s="45" t="str">
        <f>VLOOKUP($A66,PERTANYAAN!$A$18:$E$71,3,0)</f>
        <v>Ekspektasi Salary (Mengukur Budget &amp; Skill)</v>
      </c>
      <c r="D66" s="46">
        <f>VLOOKUP($A66,PERTANYAAN!$A$18:$E$71,5,0)</f>
        <v>0.04</v>
      </c>
      <c r="E66" s="17"/>
      <c r="F66" s="16"/>
      <c r="G66" s="16"/>
      <c r="H66" s="11"/>
      <c r="I66" s="11"/>
      <c r="J66" s="11"/>
      <c r="K66" s="11"/>
      <c r="L66" s="11" t="s">
        <v>16</v>
      </c>
      <c r="M66" s="16">
        <f t="shared" ref="M66:M67" si="3">IF(H66="V",$D66*H$15,IF(I66="V",$D66*I$15,IF(J66="V",$D66*J$15,IF(K66="V",$D66*K$15,IF(L66="V",$D66*L$15,0)))))*100</f>
        <v>4</v>
      </c>
      <c r="N66" s="15"/>
    </row>
    <row r="67" spans="1:14" x14ac:dyDescent="0.4">
      <c r="A67" s="62" t="s">
        <v>122</v>
      </c>
      <c r="B67" s="18" t="s">
        <v>6</v>
      </c>
      <c r="C67" s="45" t="str">
        <f>VLOOKUP($A67,PERTANYAAN!$A$18:$E$71,3,0)</f>
        <v>Tujuan Karir</v>
      </c>
      <c r="D67" s="46">
        <f>VLOOKUP($A67,PERTANYAAN!$A$18:$E$71,5,0)</f>
        <v>0.01</v>
      </c>
      <c r="E67" s="17"/>
      <c r="F67" s="16"/>
      <c r="G67" s="16"/>
      <c r="H67" s="11"/>
      <c r="I67" s="11"/>
      <c r="J67" s="11"/>
      <c r="K67" s="11" t="s">
        <v>16</v>
      </c>
      <c r="L67" s="11"/>
      <c r="M67" s="16">
        <f t="shared" si="3"/>
        <v>0.8</v>
      </c>
      <c r="N67" s="15"/>
    </row>
    <row r="68" spans="1:14" x14ac:dyDescent="0.4">
      <c r="A68" s="62"/>
      <c r="B68" s="14"/>
      <c r="C68" s="15"/>
      <c r="D68" s="17"/>
      <c r="E68" s="17"/>
      <c r="F68" s="16"/>
      <c r="G68" s="16"/>
      <c r="H68" s="11"/>
      <c r="I68" s="11"/>
      <c r="J68" s="11"/>
      <c r="K68" s="11"/>
      <c r="L68" s="11"/>
      <c r="M68" s="16"/>
      <c r="N68" s="15"/>
    </row>
    <row r="69" spans="1:14" s="2" customFormat="1" x14ac:dyDescent="0.4">
      <c r="A69" s="3"/>
      <c r="B69" s="48" t="s">
        <v>101</v>
      </c>
      <c r="C69" s="49" t="s">
        <v>134</v>
      </c>
      <c r="D69" s="51">
        <f>SUM(D70:D70)</f>
        <v>0.05</v>
      </c>
      <c r="E69" s="51"/>
      <c r="F69" s="54"/>
      <c r="G69" s="54"/>
      <c r="H69" s="59"/>
      <c r="I69" s="59"/>
      <c r="J69" s="59"/>
      <c r="K69" s="59"/>
      <c r="L69" s="59"/>
      <c r="M69" s="54">
        <f>SUM(M70)</f>
        <v>4.0000000000000009</v>
      </c>
      <c r="N69" s="49"/>
    </row>
    <row r="70" spans="1:14" x14ac:dyDescent="0.4">
      <c r="A70" s="62" t="s">
        <v>123</v>
      </c>
      <c r="B70" s="18" t="s">
        <v>6</v>
      </c>
      <c r="C70" s="45" t="str">
        <f>VLOOKUP($A70,PERTANYAAN!$A$18:$E$71,3,0)</f>
        <v>Pertanyaan Spesifik User</v>
      </c>
      <c r="D70" s="46">
        <f>VLOOKUP($A70,PERTANYAAN!$A$18:$E$71,5,0)</f>
        <v>0.05</v>
      </c>
      <c r="E70" s="17"/>
      <c r="F70" s="16"/>
      <c r="G70" s="16"/>
      <c r="H70" s="11"/>
      <c r="I70" s="11"/>
      <c r="J70" s="11"/>
      <c r="K70" s="11" t="s">
        <v>16</v>
      </c>
      <c r="L70" s="11"/>
      <c r="M70" s="16">
        <f t="shared" ref="M70" si="4">IF(H70="V",$D70*H$15,IF(I70="V",$D70*I$15,IF(J70="V",$D70*J$15,IF(K70="V",$D70*K$15,IF(L70="V",$D70*L$15,0)))))*100</f>
        <v>4.0000000000000009</v>
      </c>
      <c r="N70" s="15"/>
    </row>
    <row r="71" spans="1:14" x14ac:dyDescent="0.4">
      <c r="B71" s="19"/>
      <c r="C71" s="20"/>
      <c r="D71" s="22"/>
      <c r="E71" s="22"/>
      <c r="F71" s="21"/>
      <c r="G71" s="21"/>
      <c r="H71" s="23"/>
      <c r="I71" s="23"/>
      <c r="J71" s="23"/>
      <c r="K71" s="23"/>
      <c r="L71" s="23"/>
      <c r="M71" s="21"/>
      <c r="N71" s="20"/>
    </row>
    <row r="73" spans="1:14" x14ac:dyDescent="0.4">
      <c r="H73" s="26" t="s">
        <v>61</v>
      </c>
    </row>
    <row r="74" spans="1:14" x14ac:dyDescent="0.4">
      <c r="H74" s="7" t="s">
        <v>39</v>
      </c>
      <c r="I74" s="7" t="s">
        <v>29</v>
      </c>
      <c r="J74" s="25" t="s">
        <v>69</v>
      </c>
    </row>
    <row r="75" spans="1:14" x14ac:dyDescent="0.4">
      <c r="H75" s="7" t="s">
        <v>40</v>
      </c>
      <c r="I75" s="7" t="s">
        <v>29</v>
      </c>
      <c r="J75" s="25" t="s">
        <v>70</v>
      </c>
    </row>
    <row r="76" spans="1:14" x14ac:dyDescent="0.4">
      <c r="H76" s="7" t="s">
        <v>41</v>
      </c>
      <c r="I76" s="7" t="s">
        <v>29</v>
      </c>
      <c r="J76" s="25" t="s">
        <v>71</v>
      </c>
    </row>
    <row r="77" spans="1:14" x14ac:dyDescent="0.4">
      <c r="H77" s="7" t="s">
        <v>42</v>
      </c>
      <c r="I77" s="7" t="s">
        <v>29</v>
      </c>
      <c r="J77" s="25" t="s">
        <v>72</v>
      </c>
    </row>
    <row r="78" spans="1:14" x14ac:dyDescent="0.4">
      <c r="H78" s="7" t="s">
        <v>43</v>
      </c>
      <c r="I78" s="7" t="s">
        <v>29</v>
      </c>
      <c r="J78" s="25" t="s">
        <v>73</v>
      </c>
    </row>
  </sheetData>
  <mergeCells count="8">
    <mergeCell ref="N13:N14"/>
    <mergeCell ref="A13:A14"/>
    <mergeCell ref="B13:B14"/>
    <mergeCell ref="C13:C14"/>
    <mergeCell ref="D13:D14"/>
    <mergeCell ref="F13:G13"/>
    <mergeCell ref="H13:L13"/>
    <mergeCell ref="M13:M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PERTANYAAN</vt:lpstr>
      <vt:lpstr>REKAP</vt:lpstr>
      <vt:lpstr>HASIL-SADAM</vt:lpstr>
      <vt:lpstr>HASIL-IMAN</vt:lpstr>
      <vt:lpstr>HASIL-DENY</vt:lpstr>
      <vt:lpstr>HASIL-OPIK</vt:lpstr>
      <vt:lpstr>HASIL-DIAN</vt:lpstr>
      <vt:lpstr>HR (SADAM)</vt:lpstr>
      <vt:lpstr>HR (IMAN)</vt:lpstr>
      <vt:lpstr>HR (DENY)</vt:lpstr>
      <vt:lpstr>HR (OPIK)</vt:lpstr>
      <vt:lpstr>HR (DIAN)</vt:lpstr>
      <vt:lpstr>USER1-SADAM</vt:lpstr>
      <vt:lpstr>USER1-IMAN</vt:lpstr>
      <vt:lpstr>USER1-DENY</vt:lpstr>
      <vt:lpstr>USER1-TAUFIK</vt:lpstr>
      <vt:lpstr>USER1-DIAN</vt:lpstr>
      <vt:lpstr>USER2-SADAM</vt:lpstr>
      <vt:lpstr>USER2-IMAN</vt:lpstr>
      <vt:lpstr>USER2-DENY</vt:lpstr>
      <vt:lpstr>USER2-TAUFIK</vt:lpstr>
      <vt:lpstr>MANAGER-SADAM</vt:lpstr>
      <vt:lpstr>MANAGER-IMAN</vt:lpstr>
      <vt:lpstr>MANAGER-DENY</vt:lpstr>
      <vt:lpstr>MANAGER-TAUFIK</vt:lpstr>
      <vt:lpstr>MANAGER-DIAN</vt:lpstr>
      <vt:lpstr>PENILAIAN-USER 1</vt:lpstr>
      <vt:lpstr>PENILAIAN-USER 2</vt:lpstr>
      <vt:lpstr>PENILAIAN-MANAGER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Anggy Putra</dc:creator>
  <cp:lastModifiedBy>Anggy Putra</cp:lastModifiedBy>
  <dcterms:created xsi:type="dcterms:W3CDTF">2026-03-15T09:24:46Z</dcterms:created>
  <dcterms:modified xsi:type="dcterms:W3CDTF">2026-03-16T17:15:26Z</dcterms:modified>
</cp:coreProperties>
</file>