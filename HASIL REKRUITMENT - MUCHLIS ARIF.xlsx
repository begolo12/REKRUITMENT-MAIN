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_pc\Downloads\"/>
    </mc:Choice>
  </mc:AlternateContent>
  <xr:revisionPtr revIDLastSave="0" documentId="13_ncr:1_{66239407-37FB-480E-AC04-47D22CCC3502}" xr6:coauthVersionLast="47" xr6:coauthVersionMax="47" xr10:uidLastSave="{00000000-0000-0000-0000-000000000000}"/>
  <bookViews>
    <workbookView xWindow="-108" yWindow="-108" windowWidth="23256" windowHeight="14616" firstSheet="2" activeTab="6" xr2:uid="{B7A3D6D3-2207-4E7E-91E0-36613454C60F}"/>
  </bookViews>
  <sheets>
    <sheet name="PERTANYAAN" sheetId="3" r:id="rId1"/>
    <sheet name="REKAP" sheetId="8" r:id="rId2"/>
    <sheet name="RESUME" sheetId="5" r:id="rId3"/>
    <sheet name="PENILAIAN-HR" sheetId="1" r:id="rId4"/>
    <sheet name="PENILAIAN-ILHAM" sheetId="4" r:id="rId5"/>
    <sheet name="PENILAIAN-DICKY" sheetId="13" r:id="rId6"/>
    <sheet name="PENILAIAN-DONY" sheetId="14" r:id="rId7"/>
    <sheet name="PENILAIAN-IQBAL" sheetId="12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0" i="14" l="1"/>
  <c r="M69" i="14" s="1"/>
  <c r="D70" i="14"/>
  <c r="D69" i="14" s="1"/>
  <c r="C70" i="14"/>
  <c r="D67" i="14"/>
  <c r="M67" i="14" s="1"/>
  <c r="C67" i="14"/>
  <c r="D66" i="14"/>
  <c r="M66" i="14" s="1"/>
  <c r="C66" i="14"/>
  <c r="D63" i="14"/>
  <c r="M63" i="14" s="1"/>
  <c r="C63" i="14"/>
  <c r="D62" i="14"/>
  <c r="M62" i="14" s="1"/>
  <c r="C62" i="14"/>
  <c r="D61" i="14"/>
  <c r="M61" i="14" s="1"/>
  <c r="C61" i="14"/>
  <c r="D48" i="14"/>
  <c r="M48" i="14" s="1"/>
  <c r="C48" i="14"/>
  <c r="D47" i="14"/>
  <c r="M47" i="14" s="1"/>
  <c r="C47" i="14"/>
  <c r="D46" i="14"/>
  <c r="M46" i="14" s="1"/>
  <c r="C46" i="14"/>
  <c r="D45" i="14"/>
  <c r="M45" i="14" s="1"/>
  <c r="C45" i="14"/>
  <c r="D44" i="14"/>
  <c r="D43" i="14" s="1"/>
  <c r="C44" i="14"/>
  <c r="D34" i="14"/>
  <c r="B34" i="14"/>
  <c r="D32" i="14"/>
  <c r="M32" i="14" s="1"/>
  <c r="C32" i="14"/>
  <c r="D31" i="14"/>
  <c r="M31" i="14" s="1"/>
  <c r="C31" i="14"/>
  <c r="D30" i="14"/>
  <c r="M30" i="14" s="1"/>
  <c r="C30" i="14"/>
  <c r="D29" i="14"/>
  <c r="M29" i="14" s="1"/>
  <c r="C29" i="14"/>
  <c r="D28" i="14"/>
  <c r="D27" i="14" s="1"/>
  <c r="C28" i="14"/>
  <c r="D25" i="14"/>
  <c r="M25" i="14" s="1"/>
  <c r="C25" i="14"/>
  <c r="M24" i="14"/>
  <c r="D24" i="14"/>
  <c r="C24" i="14"/>
  <c r="M23" i="14"/>
  <c r="D23" i="14"/>
  <c r="C23" i="14"/>
  <c r="B23" i="14"/>
  <c r="B24" i="14" s="1"/>
  <c r="B25" i="14" s="1"/>
  <c r="D22" i="14"/>
  <c r="M22" i="14" s="1"/>
  <c r="C22" i="14"/>
  <c r="M19" i="14"/>
  <c r="D19" i="14"/>
  <c r="C19" i="14"/>
  <c r="B19" i="14"/>
  <c r="D18" i="14"/>
  <c r="C18" i="14"/>
  <c r="D65" i="14" l="1"/>
  <c r="D17" i="14"/>
  <c r="M18" i="14"/>
  <c r="M65" i="14"/>
  <c r="M44" i="14"/>
  <c r="M43" i="14" s="1"/>
  <c r="M21" i="14"/>
  <c r="M60" i="14"/>
  <c r="D21" i="14"/>
  <c r="D60" i="14"/>
  <c r="M28" i="14"/>
  <c r="M27" i="14" s="1"/>
  <c r="M17" i="14"/>
  <c r="M16" i="14" l="1"/>
  <c r="C11" i="14" s="1"/>
  <c r="M70" i="13"/>
  <c r="M69" i="13" s="1"/>
  <c r="D70" i="13"/>
  <c r="D69" i="13" s="1"/>
  <c r="C70" i="13"/>
  <c r="M67" i="13"/>
  <c r="D67" i="13"/>
  <c r="C67" i="13"/>
  <c r="D66" i="13"/>
  <c r="M66" i="13" s="1"/>
  <c r="C66" i="13"/>
  <c r="D65" i="13"/>
  <c r="D63" i="13"/>
  <c r="M63" i="13" s="1"/>
  <c r="C63" i="13"/>
  <c r="D62" i="13"/>
  <c r="M62" i="13" s="1"/>
  <c r="C62" i="13"/>
  <c r="D61" i="13"/>
  <c r="M61" i="13" s="1"/>
  <c r="C61" i="13"/>
  <c r="D48" i="13"/>
  <c r="M48" i="13" s="1"/>
  <c r="C48" i="13"/>
  <c r="D47" i="13"/>
  <c r="M47" i="13" s="1"/>
  <c r="C47" i="13"/>
  <c r="D46" i="13"/>
  <c r="M46" i="13" s="1"/>
  <c r="C46" i="13"/>
  <c r="D45" i="13"/>
  <c r="M45" i="13" s="1"/>
  <c r="C45" i="13"/>
  <c r="D44" i="13"/>
  <c r="D43" i="13" s="1"/>
  <c r="C44" i="13"/>
  <c r="D34" i="13"/>
  <c r="B34" i="13"/>
  <c r="D32" i="13"/>
  <c r="M32" i="13" s="1"/>
  <c r="C32" i="13"/>
  <c r="D31" i="13"/>
  <c r="M31" i="13" s="1"/>
  <c r="C31" i="13"/>
  <c r="D30" i="13"/>
  <c r="M30" i="13" s="1"/>
  <c r="C30" i="13"/>
  <c r="D29" i="13"/>
  <c r="M29" i="13" s="1"/>
  <c r="C29" i="13"/>
  <c r="D28" i="13"/>
  <c r="D27" i="13" s="1"/>
  <c r="C28" i="13"/>
  <c r="D25" i="13"/>
  <c r="M25" i="13" s="1"/>
  <c r="C25" i="13"/>
  <c r="D24" i="13"/>
  <c r="M24" i="13" s="1"/>
  <c r="C24" i="13"/>
  <c r="M23" i="13"/>
  <c r="D23" i="13"/>
  <c r="C23" i="13"/>
  <c r="B23" i="13"/>
  <c r="B24" i="13" s="1"/>
  <c r="B25" i="13" s="1"/>
  <c r="D22" i="13"/>
  <c r="M22" i="13" s="1"/>
  <c r="C22" i="13"/>
  <c r="D19" i="13"/>
  <c r="D17" i="13" s="1"/>
  <c r="C19" i="13"/>
  <c r="B19" i="13"/>
  <c r="D18" i="13"/>
  <c r="M18" i="13" s="1"/>
  <c r="C18" i="13"/>
  <c r="M70" i="12"/>
  <c r="M69" i="12" s="1"/>
  <c r="D70" i="12"/>
  <c r="D69" i="12" s="1"/>
  <c r="C70" i="12"/>
  <c r="M67" i="12"/>
  <c r="D67" i="12"/>
  <c r="C67" i="12"/>
  <c r="M66" i="12"/>
  <c r="D66" i="12"/>
  <c r="C66" i="12"/>
  <c r="M63" i="12"/>
  <c r="D63" i="12"/>
  <c r="C63" i="12"/>
  <c r="M62" i="12"/>
  <c r="D62" i="12"/>
  <c r="C62" i="12"/>
  <c r="M61" i="12"/>
  <c r="D61" i="12"/>
  <c r="D60" i="12" s="1"/>
  <c r="C61" i="12"/>
  <c r="M60" i="12"/>
  <c r="M48" i="12"/>
  <c r="D48" i="12"/>
  <c r="C48" i="12"/>
  <c r="M47" i="12"/>
  <c r="D47" i="12"/>
  <c r="C47" i="12"/>
  <c r="M46" i="12"/>
  <c r="D46" i="12"/>
  <c r="C46" i="12"/>
  <c r="M45" i="12"/>
  <c r="D45" i="12"/>
  <c r="C45" i="12"/>
  <c r="D44" i="12"/>
  <c r="D43" i="12" s="1"/>
  <c r="C44" i="12"/>
  <c r="D34" i="12"/>
  <c r="B34" i="12"/>
  <c r="M32" i="12"/>
  <c r="D32" i="12"/>
  <c r="C32" i="12"/>
  <c r="M31" i="12"/>
  <c r="D31" i="12"/>
  <c r="C31" i="12"/>
  <c r="M30" i="12"/>
  <c r="D30" i="12"/>
  <c r="C30" i="12"/>
  <c r="M29" i="12"/>
  <c r="D29" i="12"/>
  <c r="C29" i="12"/>
  <c r="D28" i="12"/>
  <c r="D27" i="12" s="1"/>
  <c r="C28" i="12"/>
  <c r="M25" i="12"/>
  <c r="D25" i="12"/>
  <c r="C25" i="12"/>
  <c r="B25" i="12"/>
  <c r="M24" i="12"/>
  <c r="D24" i="12"/>
  <c r="C24" i="12"/>
  <c r="B24" i="12"/>
  <c r="M23" i="12"/>
  <c r="D23" i="12"/>
  <c r="C23" i="12"/>
  <c r="B23" i="12"/>
  <c r="M22" i="12"/>
  <c r="D22" i="12"/>
  <c r="C22" i="12"/>
  <c r="M19" i="12"/>
  <c r="D19" i="12"/>
  <c r="C19" i="12"/>
  <c r="B19" i="12"/>
  <c r="D18" i="12"/>
  <c r="M18" i="12" s="1"/>
  <c r="M17" i="12" s="1"/>
  <c r="C18" i="12"/>
  <c r="J70" i="5"/>
  <c r="J69" i="5" s="1"/>
  <c r="J66" i="5"/>
  <c r="J63" i="5"/>
  <c r="J48" i="5"/>
  <c r="J47" i="5"/>
  <c r="J46" i="5"/>
  <c r="J32" i="5"/>
  <c r="J31" i="5"/>
  <c r="J30" i="5"/>
  <c r="J29" i="5"/>
  <c r="J25" i="5"/>
  <c r="J24" i="5"/>
  <c r="J18" i="5"/>
  <c r="I67" i="5"/>
  <c r="I63" i="5"/>
  <c r="I62" i="5"/>
  <c r="I48" i="5"/>
  <c r="I47" i="5"/>
  <c r="I46" i="5"/>
  <c r="I32" i="5"/>
  <c r="I31" i="5"/>
  <c r="I30" i="5"/>
  <c r="I29" i="5"/>
  <c r="I25" i="5"/>
  <c r="I24" i="5"/>
  <c r="I23" i="5"/>
  <c r="I22" i="5"/>
  <c r="I18" i="5"/>
  <c r="D70" i="4"/>
  <c r="M70" i="4" s="1"/>
  <c r="M69" i="4" s="1"/>
  <c r="C70" i="4"/>
  <c r="D67" i="4"/>
  <c r="M67" i="4" s="1"/>
  <c r="H67" i="5" s="1"/>
  <c r="C67" i="4"/>
  <c r="D66" i="4"/>
  <c r="M66" i="4" s="1"/>
  <c r="H66" i="5" s="1"/>
  <c r="C66" i="4"/>
  <c r="D63" i="4"/>
  <c r="M63" i="4" s="1"/>
  <c r="H63" i="5" s="1"/>
  <c r="C63" i="4"/>
  <c r="D62" i="4"/>
  <c r="M62" i="4" s="1"/>
  <c r="H62" i="5" s="1"/>
  <c r="C62" i="4"/>
  <c r="D61" i="4"/>
  <c r="M61" i="4" s="1"/>
  <c r="H61" i="5" s="1"/>
  <c r="C61" i="4"/>
  <c r="D48" i="4"/>
  <c r="M48" i="4" s="1"/>
  <c r="H48" i="5" s="1"/>
  <c r="C48" i="4"/>
  <c r="D47" i="4"/>
  <c r="M47" i="4" s="1"/>
  <c r="H47" i="5" s="1"/>
  <c r="C47" i="4"/>
  <c r="D46" i="4"/>
  <c r="M46" i="4" s="1"/>
  <c r="H46" i="5" s="1"/>
  <c r="C46" i="4"/>
  <c r="D45" i="4"/>
  <c r="M45" i="4" s="1"/>
  <c r="H45" i="5" s="1"/>
  <c r="C45" i="4"/>
  <c r="C44" i="4"/>
  <c r="D32" i="4"/>
  <c r="M32" i="4" s="1"/>
  <c r="H32" i="5" s="1"/>
  <c r="C32" i="4"/>
  <c r="D31" i="4"/>
  <c r="M31" i="4" s="1"/>
  <c r="H31" i="5" s="1"/>
  <c r="C31" i="4"/>
  <c r="D30" i="4"/>
  <c r="M30" i="4" s="1"/>
  <c r="H30" i="5" s="1"/>
  <c r="C30" i="4"/>
  <c r="D29" i="4"/>
  <c r="M29" i="4" s="1"/>
  <c r="H29" i="5" s="1"/>
  <c r="C29" i="4"/>
  <c r="C28" i="4"/>
  <c r="D25" i="4"/>
  <c r="M25" i="4" s="1"/>
  <c r="H25" i="5" s="1"/>
  <c r="C25" i="4"/>
  <c r="D24" i="4"/>
  <c r="M24" i="4" s="1"/>
  <c r="H24" i="5" s="1"/>
  <c r="C24" i="4"/>
  <c r="D23" i="4"/>
  <c r="C23" i="4"/>
  <c r="D22" i="4"/>
  <c r="M22" i="4" s="1"/>
  <c r="H22" i="5" s="1"/>
  <c r="C22" i="4"/>
  <c r="D19" i="4"/>
  <c r="M19" i="4" s="1"/>
  <c r="H19" i="5" s="1"/>
  <c r="C19" i="4"/>
  <c r="D18" i="4"/>
  <c r="M18" i="4" s="1"/>
  <c r="H18" i="5" s="1"/>
  <c r="C18" i="4"/>
  <c r="D70" i="1"/>
  <c r="M70" i="1" s="1"/>
  <c r="M69" i="1" s="1"/>
  <c r="C70" i="1"/>
  <c r="D67" i="1"/>
  <c r="M67" i="1" s="1"/>
  <c r="G67" i="5" s="1"/>
  <c r="C67" i="1"/>
  <c r="D66" i="1"/>
  <c r="M66" i="1" s="1"/>
  <c r="C66" i="1"/>
  <c r="D63" i="1"/>
  <c r="M63" i="1" s="1"/>
  <c r="G63" i="5" s="1"/>
  <c r="C63" i="1"/>
  <c r="D62" i="1"/>
  <c r="M62" i="1" s="1"/>
  <c r="G62" i="5" s="1"/>
  <c r="C62" i="1"/>
  <c r="D61" i="1"/>
  <c r="M61" i="1" s="1"/>
  <c r="G61" i="5" s="1"/>
  <c r="C61" i="1"/>
  <c r="D48" i="1"/>
  <c r="M48" i="1" s="1"/>
  <c r="G48" i="5" s="1"/>
  <c r="C48" i="1"/>
  <c r="D47" i="1"/>
  <c r="M47" i="1" s="1"/>
  <c r="G47" i="5" s="1"/>
  <c r="C47" i="1"/>
  <c r="D46" i="1"/>
  <c r="M46" i="1" s="1"/>
  <c r="G46" i="5" s="1"/>
  <c r="C46" i="1"/>
  <c r="D45" i="1"/>
  <c r="M45" i="1" s="1"/>
  <c r="G45" i="5" s="1"/>
  <c r="C45" i="1"/>
  <c r="C44" i="1"/>
  <c r="D32" i="1"/>
  <c r="M32" i="1" s="1"/>
  <c r="G32" i="5" s="1"/>
  <c r="C32" i="1"/>
  <c r="D31" i="1"/>
  <c r="M31" i="1" s="1"/>
  <c r="G31" i="5" s="1"/>
  <c r="C31" i="1"/>
  <c r="D30" i="1"/>
  <c r="M30" i="1" s="1"/>
  <c r="G30" i="5" s="1"/>
  <c r="C30" i="1"/>
  <c r="D29" i="1"/>
  <c r="M29" i="1" s="1"/>
  <c r="G29" i="5" s="1"/>
  <c r="C29" i="1"/>
  <c r="D28" i="1"/>
  <c r="D27" i="1" s="1"/>
  <c r="C28" i="1"/>
  <c r="D25" i="1"/>
  <c r="M25" i="1" s="1"/>
  <c r="G25" i="5" s="1"/>
  <c r="C25" i="1"/>
  <c r="D24" i="1"/>
  <c r="M24" i="1" s="1"/>
  <c r="G24" i="5" s="1"/>
  <c r="C24" i="1"/>
  <c r="D23" i="1"/>
  <c r="M23" i="1" s="1"/>
  <c r="G23" i="5" s="1"/>
  <c r="C23" i="1"/>
  <c r="D22" i="1"/>
  <c r="M22" i="1" s="1"/>
  <c r="G22" i="5" s="1"/>
  <c r="C22" i="1"/>
  <c r="D19" i="1"/>
  <c r="C19" i="1"/>
  <c r="D18" i="1"/>
  <c r="E18" i="5"/>
  <c r="C18" i="1"/>
  <c r="E70" i="5"/>
  <c r="E69" i="5" s="1"/>
  <c r="E67" i="5"/>
  <c r="E66" i="5"/>
  <c r="E63" i="5"/>
  <c r="E62" i="5"/>
  <c r="E61" i="5"/>
  <c r="E48" i="5"/>
  <c r="E47" i="5"/>
  <c r="E46" i="5"/>
  <c r="E45" i="5"/>
  <c r="E32" i="5"/>
  <c r="E31" i="5"/>
  <c r="E30" i="5"/>
  <c r="E29" i="5"/>
  <c r="E28" i="5"/>
  <c r="E27" i="5" s="1"/>
  <c r="E25" i="5"/>
  <c r="E24" i="5"/>
  <c r="E23" i="5"/>
  <c r="E22" i="5"/>
  <c r="E19" i="5"/>
  <c r="D70" i="5"/>
  <c r="D67" i="5"/>
  <c r="D66" i="5"/>
  <c r="D63" i="5"/>
  <c r="D62" i="5"/>
  <c r="D61" i="5"/>
  <c r="D48" i="5"/>
  <c r="D47" i="5"/>
  <c r="D46" i="5"/>
  <c r="D45" i="5"/>
  <c r="D32" i="5"/>
  <c r="D31" i="5"/>
  <c r="D30" i="5"/>
  <c r="D29" i="5"/>
  <c r="D25" i="5"/>
  <c r="D24" i="5"/>
  <c r="D23" i="5"/>
  <c r="D22" i="5"/>
  <c r="D19" i="5"/>
  <c r="D18" i="5"/>
  <c r="C70" i="5"/>
  <c r="C67" i="5"/>
  <c r="C66" i="5"/>
  <c r="C63" i="5"/>
  <c r="C62" i="5"/>
  <c r="C61" i="5"/>
  <c r="C48" i="5"/>
  <c r="C47" i="5"/>
  <c r="C46" i="5"/>
  <c r="C45" i="5"/>
  <c r="C44" i="5"/>
  <c r="C28" i="5"/>
  <c r="C32" i="5"/>
  <c r="C31" i="5"/>
  <c r="C30" i="5"/>
  <c r="C29" i="5"/>
  <c r="C25" i="5"/>
  <c r="C24" i="5"/>
  <c r="C23" i="5"/>
  <c r="C22" i="5"/>
  <c r="C19" i="5"/>
  <c r="C18" i="5"/>
  <c r="I11" i="8"/>
  <c r="J11" i="8" s="1"/>
  <c r="I10" i="8"/>
  <c r="J10" i="8" s="1"/>
  <c r="I13" i="8"/>
  <c r="J13" i="8" s="1"/>
  <c r="I12" i="8"/>
  <c r="J12" i="8" s="1"/>
  <c r="B10" i="8"/>
  <c r="B11" i="8" s="1"/>
  <c r="B12" i="8" s="1"/>
  <c r="B13" i="8" s="1"/>
  <c r="C15" i="3"/>
  <c r="D15" i="3" s="1"/>
  <c r="E15" i="3" s="1"/>
  <c r="B15" i="3"/>
  <c r="J22" i="5"/>
  <c r="I66" i="5"/>
  <c r="I19" i="5"/>
  <c r="E34" i="5"/>
  <c r="B34" i="5"/>
  <c r="B23" i="5"/>
  <c r="B24" i="5" s="1"/>
  <c r="B25" i="5" s="1"/>
  <c r="B19" i="5"/>
  <c r="D34" i="4"/>
  <c r="B34" i="4"/>
  <c r="B23" i="4"/>
  <c r="B24" i="4" s="1"/>
  <c r="B25" i="4" s="1"/>
  <c r="B19" i="4"/>
  <c r="N25" i="3"/>
  <c r="N24" i="3"/>
  <c r="N23" i="3"/>
  <c r="N22" i="3"/>
  <c r="N19" i="3"/>
  <c r="N18" i="3"/>
  <c r="N70" i="3"/>
  <c r="N69" i="3" s="1"/>
  <c r="E69" i="3"/>
  <c r="N67" i="3"/>
  <c r="N66" i="3"/>
  <c r="E65" i="3"/>
  <c r="N63" i="3"/>
  <c r="N62" i="3"/>
  <c r="N61" i="3"/>
  <c r="E60" i="3"/>
  <c r="N48" i="3"/>
  <c r="N47" i="3"/>
  <c r="N46" i="3"/>
  <c r="N45" i="3"/>
  <c r="E44" i="3"/>
  <c r="E43" i="3" s="1"/>
  <c r="E34" i="3"/>
  <c r="B34" i="3"/>
  <c r="N32" i="3"/>
  <c r="N31" i="3"/>
  <c r="N30" i="3"/>
  <c r="N29" i="3"/>
  <c r="E28" i="3"/>
  <c r="E27" i="3" s="1"/>
  <c r="B23" i="3"/>
  <c r="B24" i="3" s="1"/>
  <c r="B25" i="3" s="1"/>
  <c r="E21" i="3"/>
  <c r="B19" i="3"/>
  <c r="E17" i="3"/>
  <c r="D34" i="1"/>
  <c r="M19" i="1"/>
  <c r="G19" i="5" s="1"/>
  <c r="B34" i="1"/>
  <c r="B23" i="1"/>
  <c r="B24" i="1" s="1"/>
  <c r="B25" i="1" s="1"/>
  <c r="B19" i="1"/>
  <c r="M65" i="13" l="1"/>
  <c r="D21" i="12"/>
  <c r="M21" i="12"/>
  <c r="M28" i="12"/>
  <c r="M27" i="12" s="1"/>
  <c r="M44" i="12"/>
  <c r="M43" i="12" s="1"/>
  <c r="M65" i="12"/>
  <c r="D65" i="12"/>
  <c r="M21" i="13"/>
  <c r="M19" i="13"/>
  <c r="M44" i="13"/>
  <c r="M43" i="13" s="1"/>
  <c r="M28" i="13"/>
  <c r="M27" i="13" s="1"/>
  <c r="D60" i="13"/>
  <c r="M60" i="13"/>
  <c r="D21" i="13"/>
  <c r="M17" i="13"/>
  <c r="M16" i="12"/>
  <c r="C11" i="12" s="1"/>
  <c r="D17" i="12"/>
  <c r="I65" i="5"/>
  <c r="D69" i="4"/>
  <c r="G60" i="5"/>
  <c r="H65" i="5"/>
  <c r="I17" i="5"/>
  <c r="H44" i="5"/>
  <c r="H43" i="5" s="1"/>
  <c r="H17" i="5"/>
  <c r="H60" i="5"/>
  <c r="I21" i="5"/>
  <c r="G28" i="5"/>
  <c r="G27" i="5" s="1"/>
  <c r="J28" i="5"/>
  <c r="J27" i="5" s="1"/>
  <c r="G21" i="5"/>
  <c r="I28" i="5"/>
  <c r="I27" i="5" s="1"/>
  <c r="G44" i="5"/>
  <c r="G43" i="5" s="1"/>
  <c r="H28" i="5"/>
  <c r="H27" i="5" s="1"/>
  <c r="E44" i="5"/>
  <c r="E43" i="5" s="1"/>
  <c r="D44" i="4"/>
  <c r="D43" i="4" s="1"/>
  <c r="D44" i="1"/>
  <c r="D43" i="1" s="1"/>
  <c r="D28" i="4"/>
  <c r="D27" i="4" s="1"/>
  <c r="D17" i="1"/>
  <c r="D65" i="1"/>
  <c r="D65" i="4"/>
  <c r="D69" i="1"/>
  <c r="D17" i="4"/>
  <c r="E65" i="5"/>
  <c r="J61" i="5"/>
  <c r="D21" i="4"/>
  <c r="D60" i="1"/>
  <c r="E60" i="5"/>
  <c r="M18" i="1"/>
  <c r="G18" i="5" s="1"/>
  <c r="E21" i="5"/>
  <c r="I61" i="5"/>
  <c r="I60" i="5" s="1"/>
  <c r="D60" i="4"/>
  <c r="K47" i="5"/>
  <c r="M23" i="4"/>
  <c r="H23" i="5" s="1"/>
  <c r="H21" i="5" s="1"/>
  <c r="M65" i="1"/>
  <c r="M60" i="4"/>
  <c r="K46" i="5"/>
  <c r="K22" i="5"/>
  <c r="D21" i="1"/>
  <c r="E17" i="5"/>
  <c r="K63" i="5"/>
  <c r="K48" i="5"/>
  <c r="K25" i="5"/>
  <c r="K29" i="5"/>
  <c r="K31" i="5"/>
  <c r="K32" i="5"/>
  <c r="K24" i="5"/>
  <c r="K30" i="5"/>
  <c r="J45" i="5"/>
  <c r="J44" i="5" s="1"/>
  <c r="J43" i="5" s="1"/>
  <c r="I45" i="5"/>
  <c r="I44" i="5" s="1"/>
  <c r="I43" i="5" s="1"/>
  <c r="G66" i="5"/>
  <c r="J62" i="5"/>
  <c r="K62" i="5" s="1"/>
  <c r="J19" i="5"/>
  <c r="K19" i="5" s="1"/>
  <c r="G70" i="5"/>
  <c r="G69" i="5" s="1"/>
  <c r="J67" i="5"/>
  <c r="K67" i="5" s="1"/>
  <c r="M28" i="4"/>
  <c r="M27" i="4" s="1"/>
  <c r="H70" i="5"/>
  <c r="H69" i="5" s="1"/>
  <c r="J23" i="5"/>
  <c r="J21" i="5" s="1"/>
  <c r="M17" i="4"/>
  <c r="M65" i="4"/>
  <c r="M44" i="4"/>
  <c r="M43" i="4" s="1"/>
  <c r="N17" i="3"/>
  <c r="N28" i="3"/>
  <c r="N27" i="3" s="1"/>
  <c r="E16" i="3"/>
  <c r="N21" i="3"/>
  <c r="N60" i="3"/>
  <c r="N65" i="3"/>
  <c r="N44" i="3"/>
  <c r="N43" i="3" s="1"/>
  <c r="M60" i="1"/>
  <c r="M44" i="1"/>
  <c r="M43" i="1" s="1"/>
  <c r="M28" i="1"/>
  <c r="M27" i="1" s="1"/>
  <c r="M21" i="1"/>
  <c r="M16" i="13" l="1"/>
  <c r="C11" i="13" s="1"/>
  <c r="H16" i="5"/>
  <c r="F9" i="8" s="1"/>
  <c r="K18" i="5"/>
  <c r="K17" i="5" s="1"/>
  <c r="G17" i="5"/>
  <c r="K66" i="5"/>
  <c r="K65" i="5" s="1"/>
  <c r="G65" i="5"/>
  <c r="J60" i="5"/>
  <c r="J65" i="5"/>
  <c r="J17" i="5"/>
  <c r="I70" i="5"/>
  <c r="K61" i="5"/>
  <c r="K60" i="5" s="1"/>
  <c r="M17" i="1"/>
  <c r="K28" i="5"/>
  <c r="K27" i="5" s="1"/>
  <c r="K23" i="5"/>
  <c r="K21" i="5" s="1"/>
  <c r="M21" i="4"/>
  <c r="M16" i="4" s="1"/>
  <c r="C11" i="4" s="1"/>
  <c r="E16" i="5"/>
  <c r="K45" i="5"/>
  <c r="K44" i="5" s="1"/>
  <c r="K43" i="5" s="1"/>
  <c r="N16" i="3"/>
  <c r="C11" i="3" s="1"/>
  <c r="J16" i="5" l="1"/>
  <c r="H9" i="8" s="1"/>
  <c r="K70" i="5"/>
  <c r="K69" i="5" s="1"/>
  <c r="K16" i="5" s="1"/>
  <c r="C11" i="5" s="1"/>
  <c r="I69" i="5"/>
  <c r="I16" i="5" s="1"/>
  <c r="G9" i="8" s="1"/>
  <c r="G16" i="5"/>
  <c r="E9" i="8" s="1"/>
  <c r="I9" i="8" l="1"/>
  <c r="J9" i="8" s="1"/>
  <c r="M16" i="1"/>
  <c r="C11" i="1" s="1"/>
</calcChain>
</file>

<file path=xl/sharedStrings.xml><?xml version="1.0" encoding="utf-8"?>
<sst xmlns="http://schemas.openxmlformats.org/spreadsheetml/2006/main" count="1144" uniqueCount="190">
  <si>
    <t>DANISWARA GROUP</t>
  </si>
  <si>
    <t>NAMA</t>
  </si>
  <si>
    <t>NO.</t>
  </si>
  <si>
    <t>KATEGORI</t>
  </si>
  <si>
    <t>PENGALAMAN</t>
  </si>
  <si>
    <t>Pengalaman di dalam Daniswara Group</t>
  </si>
  <si>
    <t>-</t>
  </si>
  <si>
    <t>Pengalaman di luar Daniswara Group</t>
  </si>
  <si>
    <t>PENGALAMAN (jika ada)</t>
  </si>
  <si>
    <t>ADMINISTRASI</t>
  </si>
  <si>
    <t>SIM A (utk jabatan di Divisi Operasi)</t>
  </si>
  <si>
    <t>SIM C</t>
  </si>
  <si>
    <t>Identitas (KTP &amp; KK)</t>
  </si>
  <si>
    <t>NPWP</t>
  </si>
  <si>
    <t>ADA</t>
  </si>
  <si>
    <t>TIDAK</t>
  </si>
  <si>
    <t>V</t>
  </si>
  <si>
    <t>HASIL</t>
  </si>
  <si>
    <t>CHECK</t>
  </si>
  <si>
    <t>BOBOT</t>
  </si>
  <si>
    <t>POSISI PELAMAR</t>
  </si>
  <si>
    <t>HARD SKILL</t>
  </si>
  <si>
    <t>Keuangan</t>
  </si>
  <si>
    <t>Busdev &amp; HR</t>
  </si>
  <si>
    <t>SOFT SKILL</t>
  </si>
  <si>
    <t>Staff</t>
  </si>
  <si>
    <t>Supervisor</t>
  </si>
  <si>
    <t>Manager</t>
  </si>
  <si>
    <t>BUDGET SALARY</t>
  </si>
  <si>
    <t>:</t>
  </si>
  <si>
    <t>DENY FERDIANSYAH</t>
  </si>
  <si>
    <t>STAFF OPERASI</t>
  </si>
  <si>
    <t>PENEMPATAN</t>
  </si>
  <si>
    <t>IKN - KALIMANTAN TIMUR</t>
  </si>
  <si>
    <t>DIVISI</t>
  </si>
  <si>
    <t>OPERASI</t>
  </si>
  <si>
    <t>Skill Mengemudi</t>
  </si>
  <si>
    <t>PENILAIAN</t>
  </si>
  <si>
    <t>PENILAI</t>
  </si>
  <si>
    <t>SK</t>
  </si>
  <si>
    <t>K</t>
  </si>
  <si>
    <t>R</t>
  </si>
  <si>
    <t>B</t>
  </si>
  <si>
    <t>SB</t>
  </si>
  <si>
    <t>Skill Akuntansi &amp; Input Data</t>
  </si>
  <si>
    <t>Flow Administrasi Logistik</t>
  </si>
  <si>
    <t>PSIKOLOGI INTERVIEW</t>
  </si>
  <si>
    <t>Inisiatif</t>
  </si>
  <si>
    <t>SALARY &amp; PROSPEKTUS KARIR</t>
  </si>
  <si>
    <t>Pertanyaan Spesifik User</t>
  </si>
  <si>
    <t>Microsoft Office</t>
  </si>
  <si>
    <t>Operasi / Logistik</t>
  </si>
  <si>
    <t>Pengalaman Kreatif</t>
  </si>
  <si>
    <t>Organisasi Perusahaan &amp; Lembaga</t>
  </si>
  <si>
    <t>Kepemimpinan</t>
  </si>
  <si>
    <t>Patuh pada Peraturan</t>
  </si>
  <si>
    <t>Problem Solver</t>
  </si>
  <si>
    <t>Inovasi</t>
  </si>
  <si>
    <t>Komunikasi</t>
  </si>
  <si>
    <t>Tujuan Karir</t>
  </si>
  <si>
    <t>Ekspektasi Salary (Mengukur Budget &amp; Skill)</t>
  </si>
  <si>
    <t>KETERANGAN</t>
  </si>
  <si>
    <t>ANGGY PERMANA PUTRA</t>
  </si>
  <si>
    <t>Pengetahuan terkait logistik</t>
  </si>
  <si>
    <t>Pengalaman di Bongkar Muat</t>
  </si>
  <si>
    <t>GRAND TOTAL PENILAIAN</t>
  </si>
  <si>
    <t>A</t>
  </si>
  <si>
    <t>HASIL PENILAIAN</t>
  </si>
  <si>
    <t>HR</t>
  </si>
  <si>
    <t>SANGAT KURANG</t>
  </si>
  <si>
    <t>KURANG</t>
  </si>
  <si>
    <t>RATA-RATA</t>
  </si>
  <si>
    <t>BAIK</t>
  </si>
  <si>
    <t>SANGAT BAIK</t>
  </si>
  <si>
    <t>PERTANYAAN</t>
  </si>
  <si>
    <t>Jika tidak, apakah sudah ada pengalaman sejenis di luar Daniswara?</t>
  </si>
  <si>
    <t>Apakah sudah memiliki SIM A?</t>
  </si>
  <si>
    <t>Apakah sudah memiliki SIM C?</t>
  </si>
  <si>
    <t>Apakah sudah Memiliki NPWP?</t>
  </si>
  <si>
    <t>Ceritakan yang anda ketahui terkait dengan logistik?</t>
  </si>
  <si>
    <t>Apakah memiliki pengalaman terkait bongkar muat?sedalam apa?</t>
  </si>
  <si>
    <t>Bagaimana pandangan anda terkait perusahaan dan aturan yang dapat berubah ubah sesuai arah perusahaan?</t>
  </si>
  <si>
    <t>Jika ada hal-hal yang kiranya belum diatur oleh perusahaan atau belum dapat arahan oleh atasan, apa yang biasanya anda lakukan?</t>
  </si>
  <si>
    <t>RANGE 4 JT - 4,8 JT (ALL IN - IKN)</t>
  </si>
  <si>
    <t>Coba ceritakan pengalaman / keahlian dalam mengemudi mobil angkut/logistik?</t>
  </si>
  <si>
    <t>Menurut anda, berapa ekspektasi salary/gaji yang anda inginkan? Bagaimana jika perusahaan belum memenuhinya?</t>
  </si>
  <si>
    <t>Sejauh yang anda tahu tentang Daniswara, apa tujuan anda berkarir/berkarya bersama Daniswara? Apa ada target posisi yang anda inginkan?</t>
  </si>
  <si>
    <t>Jika terjadi suatu diskusi dalam group/kelompok yang belum menemukan titik temu, apa yang akan anda lakukan?</t>
  </si>
  <si>
    <t>Apakah ada Pengalaman di Daniswara Group? Bagaimana pandangan anda terkait Daniswara Group?</t>
  </si>
  <si>
    <t>Apakah ada Identitas Diri KTP &amp; KK?</t>
  </si>
  <si>
    <t>(HR)</t>
  </si>
  <si>
    <t>(USER)</t>
  </si>
  <si>
    <t>USER-1</t>
  </si>
  <si>
    <t>USER-2</t>
  </si>
  <si>
    <t>Antusiasme / Keinginan bergabung</t>
  </si>
  <si>
    <t>MANAGER</t>
  </si>
  <si>
    <t>C</t>
  </si>
  <si>
    <t>D</t>
  </si>
  <si>
    <t>E</t>
  </si>
  <si>
    <t>F</t>
  </si>
  <si>
    <t>G</t>
  </si>
  <si>
    <t>A100</t>
  </si>
  <si>
    <t>A200</t>
  </si>
  <si>
    <t>B100</t>
  </si>
  <si>
    <t>B200</t>
  </si>
  <si>
    <t>B300</t>
  </si>
  <si>
    <t>B400</t>
  </si>
  <si>
    <t>C100</t>
  </si>
  <si>
    <t>C110</t>
  </si>
  <si>
    <t>C120</t>
  </si>
  <si>
    <t>C130</t>
  </si>
  <si>
    <t>C140</t>
  </si>
  <si>
    <t>D100</t>
  </si>
  <si>
    <t>D110</t>
  </si>
  <si>
    <t>D120</t>
  </si>
  <si>
    <t>D130</t>
  </si>
  <si>
    <t>D140</t>
  </si>
  <si>
    <t>E100</t>
  </si>
  <si>
    <t>E200</t>
  </si>
  <si>
    <t>E300</t>
  </si>
  <si>
    <t>F100</t>
  </si>
  <si>
    <t>F200</t>
  </si>
  <si>
    <t>G100</t>
  </si>
  <si>
    <t>KODE ACC</t>
  </si>
  <si>
    <t>FORM PENILAIAN PEGAWAI &amp; CALON PEGAWAI</t>
  </si>
  <si>
    <t>NAMA PERSONIL</t>
  </si>
  <si>
    <t>JABATAN / CALON POSISI</t>
  </si>
  <si>
    <t>DIAN</t>
  </si>
  <si>
    <t>SADAM</t>
  </si>
  <si>
    <t>IMAM</t>
  </si>
  <si>
    <t>TAUFIK HIDAYATULLAH</t>
  </si>
  <si>
    <t>STAFF OPERASI - IKN</t>
  </si>
  <si>
    <t>STAFF OPERASI - DKI</t>
  </si>
  <si>
    <t>REKAP HASIL PENILAIAN PEGAWAI &amp; CALON PEGAWAI</t>
  </si>
  <si>
    <t>ADD USER QUESTION</t>
  </si>
  <si>
    <t>Adaptif</t>
  </si>
  <si>
    <t>Coba ceritakan pengalaman anda terkait dengan berada dalam lingkungan yang baru / hal yang baru?</t>
  </si>
  <si>
    <t>Determinasi thd tekanan</t>
  </si>
  <si>
    <t>Patuh pada Peraturan / Commitment</t>
  </si>
  <si>
    <t>Bagaimana pandangan anda jika anda dituntut pada pekerjaan diluar dari waktu normal dalam bekerja?</t>
  </si>
  <si>
    <t>CATATAN</t>
  </si>
  <si>
    <t>Bagaimana hubungan kerjasama antar sesama pegawai / organisasi / kelompok?(jika memiliki pengalaman kerja)</t>
  </si>
  <si>
    <t>Apa yang anda pikirkan setelah mendengar / mengetahui Daniswara membutuhkan personil baru di posisi ini?</t>
  </si>
  <si>
    <t>DENY</t>
  </si>
  <si>
    <t>Coba ceritakan yang anda ketahui tentang alur administrasi logistik? Dan kaitannya dengan Ms. Office</t>
  </si>
  <si>
    <t>Di karenakan ini 1 team dan berkumpul bersama 1 atap ( mess dan kantor ), bagaimana jika ada perselisihan?</t>
  </si>
  <si>
    <t>ILHAM AMBIA PUTRA</t>
  </si>
  <si>
    <t>CHAIRUL IQBAL</t>
  </si>
  <si>
    <t>MOHAMAD DICKY</t>
  </si>
  <si>
    <t>BELUM LANCAR, ADA TRAUMA MENGENDARA MOBIL (NABRAK)</t>
  </si>
  <si>
    <t>MENGETAHUI ALUR DAN ADMINSTRASI LOGISTIK</t>
  </si>
  <si>
    <t>PERNAH MENGIRIM LANGSUNG KE CUSTOMER</t>
  </si>
  <si>
    <t>PUSAT</t>
  </si>
  <si>
    <t>MUCHLIS ARIF SANTOSO</t>
  </si>
  <si>
    <t>MEMAKLUMI PERUBAHAN PERATURAN DAN MENGIKUTI</t>
  </si>
  <si>
    <t>MENCARI SOLUSI BERSAMA DAN MEMBERIKAN SOLUSI</t>
  </si>
  <si>
    <t>FLEKSIBLE DAN AKAN MENGAMBIL TINDAKAN SESUAI SIKON</t>
  </si>
  <si>
    <t>TERBUKA UNTUK NEGOSIASI SALARY</t>
  </si>
  <si>
    <t xml:space="preserve">BELUM ADA TUJUAN KARIR </t>
  </si>
  <si>
    <t>URIP :</t>
  </si>
  <si>
    <t>TOLONG CERITA JIKA BEKERJA/BERTEMU DENGAN ORANG YG BERBEDA DENGAN KEPRIBADIAN ANDA</t>
  </si>
  <si>
    <t>WAHYU :</t>
  </si>
  <si>
    <t>SEBUTKAN 2 KELEMAH DAN KELEBIHAN</t>
  </si>
  <si>
    <t xml:space="preserve">KELEMAHAN </t>
  </si>
  <si>
    <t>KELEBIHAN</t>
  </si>
  <si>
    <t>KETERSEDIAN BERGABUNG</t>
  </si>
  <si>
    <t>BISA BULAN MEI</t>
  </si>
  <si>
    <t>TETAP PROFESIONAL DAN MENYESELESAIKAN PEKERJAAN</t>
  </si>
  <si>
    <t>MUHAMMAD DONNY WASESO</t>
  </si>
  <si>
    <t>MOBIL</t>
  </si>
  <si>
    <t>NGANTUK JIKA SIANG</t>
  </si>
  <si>
    <t>MUDAH BERADAPTASI</t>
  </si>
  <si>
    <t>AKTIF (EKTROVET)</t>
  </si>
  <si>
    <t>PERENCANAAN PROGRAM DESA TERKAIT DANA DESA</t>
  </si>
  <si>
    <t>TIDAK BISA MOBIL MANUAL, MATIC BELUM LANCAR</t>
  </si>
  <si>
    <t>BERDISKUSI DENGAN TIM DAN MENGAMBIL KEPUTUSAN BERSAMA / MENGUSULKAN VOTING</t>
  </si>
  <si>
    <t>MENGAMBIL SIKAP MEMPERTANYAKAN KEPENTINGAN MENGUBAH PERATURAN</t>
  </si>
  <si>
    <t>ADA TUJUAN KARIR KE MANAJER</t>
  </si>
  <si>
    <t>MENGUTAMAKAN KOMUNIKASI</t>
  </si>
  <si>
    <t>BISA BERKOMUNIKASI DENGAN BAIK</t>
  </si>
  <si>
    <t>PERFEKSIONIS</t>
  </si>
  <si>
    <t>AGAK KERAS DENGAN ATURAN YG TIDAK SESUAI</t>
  </si>
  <si>
    <t>BISA SEGERA JIKA DI PANGGIL</t>
  </si>
  <si>
    <t>UMR - DEPOK</t>
  </si>
  <si>
    <t xml:space="preserve">MATIC LANCAR, MANUAL BELUM LANCAR </t>
  </si>
  <si>
    <t xml:space="preserve">MENGIKUTI ALUR AGAR BISA TETAP BERKONTRIBUSI </t>
  </si>
  <si>
    <t>KOMUNIKASI</t>
  </si>
  <si>
    <t>KURANG PENGALAMAN</t>
  </si>
  <si>
    <t>TENAGA</t>
  </si>
  <si>
    <t>PATUH TERHADAP ATASAN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</si>
</sst>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43" fontId="0" fillId="0" borderId="0" xfId="1" applyFont="1" applyAlignment="1">
      <alignment horizontal="center" vertical="center"/>
    </xf>
    <xf numFmtId="10" fontId="0" fillId="0" borderId="0" xfId="2" applyNumberFormat="1" applyFont="1"/>
    <xf numFmtId="10" fontId="2" fillId="0" borderId="0" xfId="2" applyNumberFormat="1" applyFont="1"/>
    <xf numFmtId="0" fontId="0" fillId="0" borderId="0" xfId="0" applyAlignment="1">
      <alignment horizontal="center" vertical="center"/>
    </xf>
    <xf numFmtId="43" fontId="2" fillId="0" borderId="3" xfId="1" applyFont="1" applyBorder="1" applyAlignment="1">
      <alignment horizontal="center" vertical="center"/>
    </xf>
    <xf numFmtId="10" fontId="0" fillId="0" borderId="3" xfId="2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/>
    <xf numFmtId="0" fontId="0" fillId="0" borderId="3" xfId="0" applyBorder="1" applyAlignment="1">
      <alignment horizontal="center"/>
    </xf>
    <xf numFmtId="0" fontId="0" fillId="0" borderId="3" xfId="0" applyBorder="1"/>
    <xf numFmtId="43" fontId="0" fillId="0" borderId="3" xfId="1" applyFont="1" applyBorder="1" applyAlignment="1">
      <alignment horizontal="center" vertical="center"/>
    </xf>
    <xf numFmtId="10" fontId="0" fillId="0" borderId="3" xfId="2" applyNumberFormat="1" applyFont="1" applyBorder="1"/>
    <xf numFmtId="0" fontId="0" fillId="0" borderId="3" xfId="0" quotePrefix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43" fontId="0" fillId="0" borderId="4" xfId="1" applyFont="1" applyBorder="1" applyAlignment="1">
      <alignment horizontal="center" vertical="center"/>
    </xf>
    <xf numFmtId="10" fontId="0" fillId="0" borderId="4" xfId="2" applyNumberFormat="1" applyFont="1" applyBorder="1"/>
    <xf numFmtId="0" fontId="0" fillId="0" borderId="4" xfId="0" applyBorder="1" applyAlignment="1">
      <alignment horizontal="center" vertical="center"/>
    </xf>
    <xf numFmtId="43" fontId="2" fillId="0" borderId="0" xfId="0" applyNumberFormat="1" applyFont="1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10" fontId="0" fillId="0" borderId="0" xfId="2" applyNumberFormat="1" applyFont="1" applyAlignment="1">
      <alignment horizontal="center"/>
    </xf>
    <xf numFmtId="10" fontId="0" fillId="0" borderId="3" xfId="2" applyNumberFormat="1" applyFont="1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43" fontId="0" fillId="0" borderId="3" xfId="1" applyFont="1" applyBorder="1" applyAlignment="1">
      <alignment horizontal="left" vertical="center"/>
    </xf>
    <xf numFmtId="43" fontId="0" fillId="0" borderId="4" xfId="1" applyFont="1" applyBorder="1" applyAlignment="1">
      <alignment horizontal="left" vertical="center"/>
    </xf>
    <xf numFmtId="43" fontId="0" fillId="0" borderId="3" xfId="1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43" fontId="0" fillId="0" borderId="3" xfId="1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/>
    <xf numFmtId="43" fontId="2" fillId="2" borderId="3" xfId="1" applyFont="1" applyFill="1" applyBorder="1" applyAlignment="1">
      <alignment horizontal="left" vertical="center"/>
    </xf>
    <xf numFmtId="10" fontId="2" fillId="2" borderId="3" xfId="2" applyNumberFormat="1" applyFont="1" applyFill="1" applyBorder="1"/>
    <xf numFmtId="10" fontId="2" fillId="2" borderId="3" xfId="2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43" fontId="2" fillId="2" borderId="3" xfId="1" applyFont="1" applyFill="1" applyBorder="1"/>
    <xf numFmtId="0" fontId="2" fillId="2" borderId="1" xfId="0" applyFont="1" applyFill="1" applyBorder="1" applyAlignment="1">
      <alignment horizontal="center" vertical="center"/>
    </xf>
    <xf numFmtId="10" fontId="2" fillId="2" borderId="1" xfId="2" applyNumberFormat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10" fontId="0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3" xfId="0" quotePrefix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10" fontId="0" fillId="0" borderId="3" xfId="2" applyNumberFormat="1" applyFont="1" applyBorder="1" applyAlignment="1">
      <alignment vertical="center" wrapText="1"/>
    </xf>
    <xf numFmtId="10" fontId="0" fillId="0" borderId="3" xfId="2" applyNumberFormat="1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/>
    <xf numFmtId="43" fontId="2" fillId="3" borderId="3" xfId="1" applyFont="1" applyFill="1" applyBorder="1" applyAlignment="1">
      <alignment horizontal="left" vertical="center"/>
    </xf>
    <xf numFmtId="10" fontId="2" fillId="3" borderId="3" xfId="2" applyNumberFormat="1" applyFont="1" applyFill="1" applyBorder="1"/>
    <xf numFmtId="10" fontId="2" fillId="3" borderId="3" xfId="2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43" fontId="2" fillId="3" borderId="3" xfId="1" applyFont="1" applyFill="1" applyBorder="1" applyAlignment="1">
      <alignment horizontal="center" vertical="center"/>
    </xf>
    <xf numFmtId="0" fontId="0" fillId="3" borderId="3" xfId="0" applyFill="1" applyBorder="1"/>
    <xf numFmtId="43" fontId="0" fillId="3" borderId="3" xfId="1" applyFont="1" applyFill="1" applyBorder="1" applyAlignment="1">
      <alignment horizontal="left" vertical="center"/>
    </xf>
    <xf numFmtId="10" fontId="0" fillId="3" borderId="3" xfId="2" applyNumberFormat="1" applyFont="1" applyFill="1" applyBorder="1"/>
    <xf numFmtId="10" fontId="0" fillId="3" borderId="3" xfId="2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43" fontId="0" fillId="3" borderId="3" xfId="1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horizontal="center" vertical="center"/>
    </xf>
    <xf numFmtId="43" fontId="0" fillId="0" borderId="3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43" fontId="2" fillId="2" borderId="2" xfId="1" applyFont="1" applyFill="1" applyBorder="1" applyAlignment="1">
      <alignment horizontal="center" vertical="center"/>
    </xf>
    <xf numFmtId="43" fontId="2" fillId="2" borderId="4" xfId="1" applyFont="1" applyFill="1" applyBorder="1" applyAlignment="1">
      <alignment horizontal="center" vertical="center"/>
    </xf>
    <xf numFmtId="10" fontId="2" fillId="2" borderId="5" xfId="2" applyNumberFormat="1" applyFont="1" applyFill="1" applyBorder="1" applyAlignment="1">
      <alignment horizontal="center" vertical="center"/>
    </xf>
    <xf numFmtId="10" fontId="2" fillId="2" borderId="6" xfId="2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0" fontId="2" fillId="2" borderId="1" xfId="2" applyNumberFormat="1" applyFont="1" applyFill="1" applyBorder="1" applyAlignment="1">
      <alignment horizontal="center" vertical="center"/>
    </xf>
    <xf numFmtId="10" fontId="0" fillId="2" borderId="1" xfId="2" applyNumberFormat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7" fontId="0" fillId="0" borderId="0" xfId="1" applyNumberFormat="1" applyFont="1"/>
    <xf numFmtId="167" fontId="0" fillId="0" borderId="0" xfId="1" applyNumberFormat="1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1" applyNumberFormat="1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D3E9-61FF-4913-BB62-BD620A813F35}">
  <sheetPr>
    <tabColor rgb="FFFFFF00"/>
  </sheetPr>
  <dimension ref="A1:O78"/>
  <sheetViews>
    <sheetView zoomScaleNormal="100" workbookViewId="0">
      <pane xSplit="1" ySplit="14" topLeftCell="D48" activePane="bottomRight" state="frozen"/>
      <selection pane="topRight" activeCell="B1" sqref="B1"/>
      <selection pane="bottomLeft" activeCell="A14" sqref="A14"/>
      <selection pane="bottomRight" activeCell="D70" sqref="D70"/>
    </sheetView>
  </sheetViews>
  <sheetFormatPr defaultColWidth="8.88671875" defaultRowHeight="14.4" outlineLevelRow="1" outlineLevelCol="1" x14ac:dyDescent="0.3"/>
  <cols>
    <col min="1" max="1" width="17.6640625" customWidth="1"/>
    <col min="2" max="2" width="4.33203125" style="1" bestFit="1" customWidth="1"/>
    <col min="3" max="3" width="40.109375" bestFit="1" customWidth="1"/>
    <col min="4" max="4" width="70.6640625" style="4" customWidth="1"/>
    <col min="5" max="5" width="9.109375" style="5"/>
    <col min="6" max="6" width="1.6640625" style="5" customWidth="1"/>
    <col min="7" max="8" width="7.6640625" style="27" hidden="1" customWidth="1" outlineLevel="1"/>
    <col min="9" max="13" width="7.6640625" style="7" hidden="1" customWidth="1" outlineLevel="1"/>
    <col min="14" max="14" width="0" style="4" hidden="1" customWidth="1" outlineLevel="1"/>
    <col min="15" max="15" width="16.88671875" customWidth="1" collapsed="1"/>
  </cols>
  <sheetData>
    <row r="1" spans="1:15" x14ac:dyDescent="0.3">
      <c r="A1" s="2" t="s">
        <v>124</v>
      </c>
    </row>
    <row r="2" spans="1:15" x14ac:dyDescent="0.3">
      <c r="A2" s="2" t="s">
        <v>0</v>
      </c>
    </row>
    <row r="5" spans="1:15" x14ac:dyDescent="0.3">
      <c r="A5" s="2" t="s">
        <v>1</v>
      </c>
      <c r="B5" s="1" t="s">
        <v>29</v>
      </c>
      <c r="C5" s="2"/>
    </row>
    <row r="6" spans="1:15" x14ac:dyDescent="0.3">
      <c r="A6" s="2" t="s">
        <v>20</v>
      </c>
      <c r="B6" s="1" t="s">
        <v>29</v>
      </c>
      <c r="C6" t="s">
        <v>31</v>
      </c>
    </row>
    <row r="7" spans="1:15" x14ac:dyDescent="0.3">
      <c r="A7" s="2" t="s">
        <v>32</v>
      </c>
      <c r="B7" s="1" t="s">
        <v>29</v>
      </c>
      <c r="C7" t="s">
        <v>33</v>
      </c>
    </row>
    <row r="8" spans="1:15" x14ac:dyDescent="0.3">
      <c r="A8" s="2" t="s">
        <v>34</v>
      </c>
      <c r="B8" s="1" t="s">
        <v>29</v>
      </c>
      <c r="C8" t="s">
        <v>35</v>
      </c>
    </row>
    <row r="9" spans="1:15" x14ac:dyDescent="0.3">
      <c r="A9" s="2" t="s">
        <v>28</v>
      </c>
      <c r="B9" s="1" t="s">
        <v>29</v>
      </c>
      <c r="C9" t="s">
        <v>83</v>
      </c>
    </row>
    <row r="10" spans="1:15" x14ac:dyDescent="0.3">
      <c r="A10" s="2" t="s">
        <v>68</v>
      </c>
      <c r="B10" s="1" t="s">
        <v>29</v>
      </c>
      <c r="C10" s="2" t="s">
        <v>62</v>
      </c>
    </row>
    <row r="11" spans="1:15" x14ac:dyDescent="0.3">
      <c r="A11" s="2" t="s">
        <v>67</v>
      </c>
      <c r="B11" s="1" t="s">
        <v>29</v>
      </c>
      <c r="C11" s="24">
        <f>N16</f>
        <v>86.7</v>
      </c>
    </row>
    <row r="13" spans="1:15" s="2" customFormat="1" x14ac:dyDescent="0.3">
      <c r="A13" s="73" t="s">
        <v>123</v>
      </c>
      <c r="B13" s="74" t="s">
        <v>2</v>
      </c>
      <c r="C13" s="74" t="s">
        <v>3</v>
      </c>
      <c r="D13" s="69" t="s">
        <v>74</v>
      </c>
      <c r="E13" s="76" t="s">
        <v>19</v>
      </c>
      <c r="F13" s="43"/>
      <c r="G13" s="71" t="s">
        <v>18</v>
      </c>
      <c r="H13" s="72"/>
      <c r="I13" s="74" t="s">
        <v>37</v>
      </c>
      <c r="J13" s="74"/>
      <c r="K13" s="74"/>
      <c r="L13" s="74"/>
      <c r="M13" s="74"/>
      <c r="N13" s="78" t="s">
        <v>17</v>
      </c>
      <c r="O13" s="68" t="s">
        <v>61</v>
      </c>
    </row>
    <row r="14" spans="1:15" s="2" customFormat="1" x14ac:dyDescent="0.3">
      <c r="A14" s="73"/>
      <c r="B14" s="74"/>
      <c r="C14" s="75"/>
      <c r="D14" s="70"/>
      <c r="E14" s="77"/>
      <c r="F14" s="45"/>
      <c r="G14" s="43" t="s">
        <v>14</v>
      </c>
      <c r="H14" s="43" t="s">
        <v>15</v>
      </c>
      <c r="I14" s="42" t="s">
        <v>39</v>
      </c>
      <c r="J14" s="42" t="s">
        <v>40</v>
      </c>
      <c r="K14" s="42" t="s">
        <v>41</v>
      </c>
      <c r="L14" s="42" t="s">
        <v>42</v>
      </c>
      <c r="M14" s="42" t="s">
        <v>43</v>
      </c>
      <c r="N14" s="78"/>
      <c r="O14" s="68"/>
    </row>
    <row r="15" spans="1:15" s="2" customFormat="1" x14ac:dyDescent="0.3">
      <c r="A15" s="3">
        <v>1</v>
      </c>
      <c r="B15" s="10">
        <f>A15+1</f>
        <v>2</v>
      </c>
      <c r="C15" s="10">
        <f t="shared" ref="C15:E15" si="0">B15+1</f>
        <v>3</v>
      </c>
      <c r="D15" s="10">
        <f t="shared" si="0"/>
        <v>4</v>
      </c>
      <c r="E15" s="10">
        <f t="shared" si="0"/>
        <v>5</v>
      </c>
      <c r="F15" s="9"/>
      <c r="G15" s="9"/>
      <c r="H15" s="9"/>
      <c r="I15" s="12">
        <v>0.2</v>
      </c>
      <c r="J15" s="12">
        <v>0.4</v>
      </c>
      <c r="K15" s="12">
        <v>0.6</v>
      </c>
      <c r="L15" s="12">
        <v>0.8</v>
      </c>
      <c r="M15" s="12">
        <v>1</v>
      </c>
      <c r="N15" s="8"/>
      <c r="O15" s="13"/>
    </row>
    <row r="16" spans="1:15" s="2" customFormat="1" x14ac:dyDescent="0.3">
      <c r="B16" s="35"/>
      <c r="C16" s="36" t="s">
        <v>65</v>
      </c>
      <c r="D16" s="37"/>
      <c r="E16" s="38">
        <f>E17+E21+E27+E43+E60+E65+E69</f>
        <v>1</v>
      </c>
      <c r="F16" s="38"/>
      <c r="G16" s="39"/>
      <c r="H16" s="39"/>
      <c r="I16" s="40"/>
      <c r="J16" s="40"/>
      <c r="K16" s="40"/>
      <c r="L16" s="40"/>
      <c r="M16" s="40"/>
      <c r="N16" s="41">
        <f>N17+N21+N27+N43+N60+N65+N69</f>
        <v>86.7</v>
      </c>
      <c r="O16" s="36"/>
    </row>
    <row r="17" spans="1:15" x14ac:dyDescent="0.3">
      <c r="B17" s="51" t="s">
        <v>66</v>
      </c>
      <c r="C17" s="52" t="s">
        <v>4</v>
      </c>
      <c r="D17" s="53"/>
      <c r="E17" s="54">
        <f>SUM(E18:E19)</f>
        <v>0.1</v>
      </c>
      <c r="F17" s="54"/>
      <c r="G17" s="55"/>
      <c r="H17" s="55"/>
      <c r="I17" s="56"/>
      <c r="J17" s="56"/>
      <c r="K17" s="56"/>
      <c r="L17" s="56"/>
      <c r="M17" s="56"/>
      <c r="N17" s="57">
        <f>SUM(N18:N20)</f>
        <v>10</v>
      </c>
      <c r="O17" s="58"/>
    </row>
    <row r="18" spans="1:15" s="46" customFormat="1" ht="30" customHeight="1" x14ac:dyDescent="0.3">
      <c r="A18" s="66" t="s">
        <v>101</v>
      </c>
      <c r="B18" s="47">
        <v>1</v>
      </c>
      <c r="C18" s="48" t="s">
        <v>5</v>
      </c>
      <c r="D18" s="32" t="s">
        <v>88</v>
      </c>
      <c r="E18" s="49">
        <v>0.06</v>
      </c>
      <c r="F18" s="49"/>
      <c r="G18" s="50" t="s">
        <v>16</v>
      </c>
      <c r="H18" s="50"/>
      <c r="I18" s="33"/>
      <c r="J18" s="33"/>
      <c r="K18" s="33"/>
      <c r="L18" s="33"/>
      <c r="M18" s="33"/>
      <c r="N18" s="34">
        <f>IF(G18="V",E18*100,0)</f>
        <v>6</v>
      </c>
      <c r="O18" s="48"/>
    </row>
    <row r="19" spans="1:15" s="46" customFormat="1" ht="30" customHeight="1" x14ac:dyDescent="0.3">
      <c r="A19" s="66" t="s">
        <v>102</v>
      </c>
      <c r="B19" s="47">
        <f>B18+1</f>
        <v>2</v>
      </c>
      <c r="C19" s="48" t="s">
        <v>7</v>
      </c>
      <c r="D19" s="32" t="s">
        <v>75</v>
      </c>
      <c r="E19" s="49">
        <v>0.04</v>
      </c>
      <c r="F19" s="49"/>
      <c r="G19" s="50" t="s">
        <v>16</v>
      </c>
      <c r="H19" s="50"/>
      <c r="I19" s="33"/>
      <c r="J19" s="33"/>
      <c r="K19" s="33"/>
      <c r="L19" s="33"/>
      <c r="M19" s="33"/>
      <c r="N19" s="34">
        <f>IF(G19="V",E19*100,0)</f>
        <v>4</v>
      </c>
      <c r="O19" s="48"/>
    </row>
    <row r="20" spans="1:15" x14ac:dyDescent="0.3">
      <c r="A20" s="1"/>
      <c r="B20" s="14"/>
      <c r="C20" s="15"/>
      <c r="D20" s="30"/>
      <c r="E20" s="17"/>
      <c r="F20" s="17"/>
      <c r="G20" s="28"/>
      <c r="H20" s="28"/>
      <c r="I20" s="11"/>
      <c r="J20" s="11"/>
      <c r="K20" s="11"/>
      <c r="L20" s="11"/>
      <c r="M20" s="11"/>
      <c r="N20" s="16"/>
      <c r="O20" s="15"/>
    </row>
    <row r="21" spans="1:15" x14ac:dyDescent="0.3">
      <c r="A21" s="1"/>
      <c r="B21" s="51" t="s">
        <v>42</v>
      </c>
      <c r="C21" s="52" t="s">
        <v>9</v>
      </c>
      <c r="D21" s="53"/>
      <c r="E21" s="54">
        <f>SUM(E22:E25)</f>
        <v>0.05</v>
      </c>
      <c r="F21" s="54"/>
      <c r="G21" s="55"/>
      <c r="H21" s="55"/>
      <c r="I21" s="56"/>
      <c r="J21" s="56"/>
      <c r="K21" s="56"/>
      <c r="L21" s="56"/>
      <c r="M21" s="56"/>
      <c r="N21" s="57">
        <f>SUM(N22:N25)</f>
        <v>5</v>
      </c>
      <c r="O21" s="58"/>
    </row>
    <row r="22" spans="1:15" s="46" customFormat="1" ht="30" customHeight="1" x14ac:dyDescent="0.3">
      <c r="A22" s="66" t="s">
        <v>103</v>
      </c>
      <c r="B22" s="47">
        <v>1</v>
      </c>
      <c r="C22" s="48" t="s">
        <v>12</v>
      </c>
      <c r="D22" s="32" t="s">
        <v>89</v>
      </c>
      <c r="E22" s="49">
        <v>0.01</v>
      </c>
      <c r="F22" s="49"/>
      <c r="G22" s="50" t="s">
        <v>16</v>
      </c>
      <c r="H22" s="50"/>
      <c r="I22" s="33"/>
      <c r="J22" s="33"/>
      <c r="K22" s="33"/>
      <c r="L22" s="33"/>
      <c r="M22" s="33"/>
      <c r="N22" s="34">
        <f t="shared" ref="N22:N25" si="1">IF(G22="V",E22*100,0)</f>
        <v>1</v>
      </c>
      <c r="O22" s="48"/>
    </row>
    <row r="23" spans="1:15" s="46" customFormat="1" ht="30" customHeight="1" x14ac:dyDescent="0.3">
      <c r="A23" s="66" t="s">
        <v>104</v>
      </c>
      <c r="B23" s="47">
        <f>B22+1</f>
        <v>2</v>
      </c>
      <c r="C23" s="48" t="s">
        <v>10</v>
      </c>
      <c r="D23" s="32" t="s">
        <v>76</v>
      </c>
      <c r="E23" s="49">
        <v>0.02</v>
      </c>
      <c r="F23" s="49"/>
      <c r="G23" s="50" t="s">
        <v>16</v>
      </c>
      <c r="H23" s="50"/>
      <c r="I23" s="33"/>
      <c r="J23" s="33"/>
      <c r="K23" s="33"/>
      <c r="L23" s="33"/>
      <c r="M23" s="33"/>
      <c r="N23" s="34">
        <f t="shared" si="1"/>
        <v>2</v>
      </c>
      <c r="O23" s="48"/>
    </row>
    <row r="24" spans="1:15" s="46" customFormat="1" ht="30" customHeight="1" x14ac:dyDescent="0.3">
      <c r="A24" s="66" t="s">
        <v>105</v>
      </c>
      <c r="B24" s="47">
        <f t="shared" ref="B24:B25" si="2">B23+1</f>
        <v>3</v>
      </c>
      <c r="C24" s="48" t="s">
        <v>11</v>
      </c>
      <c r="D24" s="32" t="s">
        <v>77</v>
      </c>
      <c r="E24" s="49">
        <v>0.01</v>
      </c>
      <c r="F24" s="49"/>
      <c r="G24" s="50" t="s">
        <v>16</v>
      </c>
      <c r="H24" s="50"/>
      <c r="I24" s="33"/>
      <c r="J24" s="33"/>
      <c r="K24" s="33"/>
      <c r="L24" s="33"/>
      <c r="M24" s="33"/>
      <c r="N24" s="34">
        <f t="shared" si="1"/>
        <v>1</v>
      </c>
      <c r="O24" s="48"/>
    </row>
    <row r="25" spans="1:15" s="46" customFormat="1" ht="30" customHeight="1" x14ac:dyDescent="0.3">
      <c r="A25" s="66" t="s">
        <v>106</v>
      </c>
      <c r="B25" s="47">
        <f t="shared" si="2"/>
        <v>4</v>
      </c>
      <c r="C25" s="48" t="s">
        <v>13</v>
      </c>
      <c r="D25" s="32" t="s">
        <v>78</v>
      </c>
      <c r="E25" s="49">
        <v>0.01</v>
      </c>
      <c r="F25" s="49"/>
      <c r="G25" s="50" t="s">
        <v>16</v>
      </c>
      <c r="H25" s="50"/>
      <c r="I25" s="33"/>
      <c r="J25" s="33"/>
      <c r="K25" s="33"/>
      <c r="L25" s="33"/>
      <c r="M25" s="33"/>
      <c r="N25" s="34">
        <f t="shared" si="1"/>
        <v>1</v>
      </c>
      <c r="O25" s="48"/>
    </row>
    <row r="26" spans="1:15" x14ac:dyDescent="0.3">
      <c r="A26" s="1"/>
      <c r="B26" s="14"/>
      <c r="C26" s="15"/>
      <c r="D26" s="30"/>
      <c r="E26" s="17"/>
      <c r="F26" s="17"/>
      <c r="G26" s="28"/>
      <c r="H26" s="28"/>
      <c r="I26" s="11"/>
      <c r="J26" s="11"/>
      <c r="K26" s="11"/>
      <c r="L26" s="11"/>
      <c r="M26" s="11"/>
      <c r="N26" s="16"/>
      <c r="O26" s="15"/>
    </row>
    <row r="27" spans="1:15" x14ac:dyDescent="0.3">
      <c r="A27" s="1"/>
      <c r="B27" s="51" t="s">
        <v>96</v>
      </c>
      <c r="C27" s="52" t="s">
        <v>21</v>
      </c>
      <c r="D27" s="59"/>
      <c r="E27" s="54">
        <f>E28</f>
        <v>0.35000000000000003</v>
      </c>
      <c r="F27" s="60"/>
      <c r="G27" s="61"/>
      <c r="H27" s="61"/>
      <c r="I27" s="56"/>
      <c r="J27" s="56"/>
      <c r="K27" s="56"/>
      <c r="L27" s="56"/>
      <c r="M27" s="56"/>
      <c r="N27" s="57">
        <f>N28</f>
        <v>28.5</v>
      </c>
      <c r="O27" s="58"/>
    </row>
    <row r="28" spans="1:15" x14ac:dyDescent="0.3">
      <c r="A28" s="66" t="s">
        <v>107</v>
      </c>
      <c r="B28" s="18">
        <v>1</v>
      </c>
      <c r="C28" s="15" t="s">
        <v>51</v>
      </c>
      <c r="D28" s="30"/>
      <c r="E28" s="17">
        <f>SUM(E29:E32)</f>
        <v>0.35000000000000003</v>
      </c>
      <c r="F28" s="17"/>
      <c r="G28" s="28"/>
      <c r="H28" s="28"/>
      <c r="I28" s="11"/>
      <c r="J28" s="11"/>
      <c r="K28" s="11"/>
      <c r="L28" s="11"/>
      <c r="M28" s="11"/>
      <c r="N28" s="16">
        <f>SUM(N29:N33)</f>
        <v>28.5</v>
      </c>
      <c r="O28" s="15"/>
    </row>
    <row r="29" spans="1:15" s="46" customFormat="1" ht="30" customHeight="1" x14ac:dyDescent="0.3">
      <c r="A29" s="66" t="s">
        <v>108</v>
      </c>
      <c r="B29" s="47" t="s">
        <v>6</v>
      </c>
      <c r="C29" s="48" t="s">
        <v>36</v>
      </c>
      <c r="D29" s="32" t="s">
        <v>84</v>
      </c>
      <c r="E29" s="49">
        <v>0.15</v>
      </c>
      <c r="F29" s="49"/>
      <c r="G29" s="50"/>
      <c r="H29" s="50"/>
      <c r="I29" s="33"/>
      <c r="J29" s="33"/>
      <c r="K29" s="33"/>
      <c r="L29" s="33" t="s">
        <v>16</v>
      </c>
      <c r="M29" s="33"/>
      <c r="N29" s="34">
        <f>IF(I29="V",$E29*I$15,IF(J29="V",$E29*J$15,IF(K29="V",$E29*K$15,IF(L29="V",$E29*L$15,IF(M29="V",$E29*M$15,0)))))*100</f>
        <v>12</v>
      </c>
      <c r="O29" s="48"/>
    </row>
    <row r="30" spans="1:15" s="46" customFormat="1" ht="30" customHeight="1" x14ac:dyDescent="0.3">
      <c r="A30" s="66" t="s">
        <v>109</v>
      </c>
      <c r="B30" s="47" t="s">
        <v>6</v>
      </c>
      <c r="C30" s="48" t="s">
        <v>45</v>
      </c>
      <c r="D30" s="32" t="s">
        <v>144</v>
      </c>
      <c r="E30" s="49">
        <v>0.1</v>
      </c>
      <c r="F30" s="49"/>
      <c r="G30" s="50"/>
      <c r="H30" s="50"/>
      <c r="I30" s="33"/>
      <c r="J30" s="33"/>
      <c r="K30" s="33"/>
      <c r="L30" s="33"/>
      <c r="M30" s="33" t="s">
        <v>16</v>
      </c>
      <c r="N30" s="34">
        <f t="shared" ref="N30:N32" si="3">IF(I30="V",$E30*I$15,IF(J30="V",$E30*J$15,IF(K30="V",$E30*K$15,IF(L30="V",$E30*L$15,IF(M30="V",$E30*M$15,0)))))*100</f>
        <v>10</v>
      </c>
      <c r="O30" s="48"/>
    </row>
    <row r="31" spans="1:15" s="46" customFormat="1" ht="30" customHeight="1" x14ac:dyDescent="0.3">
      <c r="A31" s="66" t="s">
        <v>110</v>
      </c>
      <c r="B31" s="47" t="s">
        <v>6</v>
      </c>
      <c r="C31" s="48" t="s">
        <v>63</v>
      </c>
      <c r="D31" s="32" t="s">
        <v>79</v>
      </c>
      <c r="E31" s="49">
        <v>2.5000000000000001E-2</v>
      </c>
      <c r="F31" s="49"/>
      <c r="G31" s="50"/>
      <c r="H31" s="50"/>
      <c r="I31" s="33"/>
      <c r="J31" s="33"/>
      <c r="K31" s="33"/>
      <c r="L31" s="33" t="s">
        <v>16</v>
      </c>
      <c r="M31" s="33"/>
      <c r="N31" s="34">
        <f t="shared" si="3"/>
        <v>2.0000000000000004</v>
      </c>
      <c r="O31" s="48"/>
    </row>
    <row r="32" spans="1:15" s="46" customFormat="1" ht="30" customHeight="1" x14ac:dyDescent="0.3">
      <c r="A32" s="66" t="s">
        <v>111</v>
      </c>
      <c r="B32" s="47" t="s">
        <v>6</v>
      </c>
      <c r="C32" s="48" t="s">
        <v>64</v>
      </c>
      <c r="D32" s="32" t="s">
        <v>80</v>
      </c>
      <c r="E32" s="49">
        <v>7.4999999999999997E-2</v>
      </c>
      <c r="F32" s="49"/>
      <c r="G32" s="50"/>
      <c r="H32" s="50"/>
      <c r="I32" s="33"/>
      <c r="J32" s="33"/>
      <c r="K32" s="33" t="s">
        <v>16</v>
      </c>
      <c r="L32" s="33"/>
      <c r="M32" s="33"/>
      <c r="N32" s="34">
        <f t="shared" si="3"/>
        <v>4.5</v>
      </c>
      <c r="O32" s="48"/>
    </row>
    <row r="33" spans="1:15" x14ac:dyDescent="0.3">
      <c r="A33" s="1"/>
      <c r="B33" s="18"/>
      <c r="C33" s="15"/>
      <c r="D33" s="30"/>
      <c r="E33" s="17"/>
      <c r="F33" s="17"/>
      <c r="G33" s="28"/>
      <c r="H33" s="28"/>
      <c r="I33" s="11"/>
      <c r="J33" s="11"/>
      <c r="K33" s="11"/>
      <c r="L33" s="11"/>
      <c r="M33" s="11"/>
      <c r="N33" s="16"/>
      <c r="O33" s="15"/>
    </row>
    <row r="34" spans="1:15" hidden="1" outlineLevel="1" x14ac:dyDescent="0.3">
      <c r="A34" s="1"/>
      <c r="B34" s="18">
        <f>B28+1</f>
        <v>2</v>
      </c>
      <c r="C34" s="15" t="s">
        <v>22</v>
      </c>
      <c r="D34" s="30"/>
      <c r="E34" s="17">
        <f>SUM(E35:E37)</f>
        <v>0.35</v>
      </c>
      <c r="F34" s="17"/>
      <c r="G34" s="28"/>
      <c r="H34" s="28"/>
      <c r="I34" s="11"/>
      <c r="J34" s="11"/>
      <c r="K34" s="11"/>
      <c r="L34" s="11"/>
      <c r="M34" s="11"/>
      <c r="N34" s="16"/>
      <c r="O34" s="15"/>
    </row>
    <row r="35" spans="1:15" hidden="1" outlineLevel="1" x14ac:dyDescent="0.3">
      <c r="A35" s="1"/>
      <c r="B35" s="18" t="s">
        <v>6</v>
      </c>
      <c r="C35" s="15" t="s">
        <v>44</v>
      </c>
      <c r="D35" s="30"/>
      <c r="E35" s="17">
        <v>0.15</v>
      </c>
      <c r="F35" s="17"/>
      <c r="G35" s="28"/>
      <c r="H35" s="28"/>
      <c r="I35" s="11"/>
      <c r="J35" s="11"/>
      <c r="K35" s="11"/>
      <c r="L35" s="11"/>
      <c r="M35" s="11"/>
      <c r="N35" s="16"/>
      <c r="O35" s="15"/>
    </row>
    <row r="36" spans="1:15" hidden="1" outlineLevel="1" x14ac:dyDescent="0.3">
      <c r="A36" s="1"/>
      <c r="B36" s="18" t="s">
        <v>6</v>
      </c>
      <c r="C36" s="15" t="s">
        <v>50</v>
      </c>
      <c r="D36" s="30"/>
      <c r="E36" s="17">
        <v>0.2</v>
      </c>
      <c r="F36" s="17"/>
      <c r="G36" s="28"/>
      <c r="H36" s="28"/>
      <c r="I36" s="11"/>
      <c r="J36" s="11"/>
      <c r="K36" s="11"/>
      <c r="L36" s="11"/>
      <c r="M36" s="11"/>
      <c r="N36" s="16"/>
      <c r="O36" s="15"/>
    </row>
    <row r="37" spans="1:15" hidden="1" outlineLevel="1" x14ac:dyDescent="0.3">
      <c r="A37" s="1"/>
      <c r="B37" s="18"/>
      <c r="C37" s="15"/>
      <c r="D37" s="30"/>
      <c r="E37" s="17"/>
      <c r="F37" s="17"/>
      <c r="G37" s="28"/>
      <c r="H37" s="28"/>
      <c r="I37" s="11"/>
      <c r="J37" s="11"/>
      <c r="K37" s="11"/>
      <c r="L37" s="11"/>
      <c r="M37" s="11"/>
      <c r="N37" s="16"/>
      <c r="O37" s="15"/>
    </row>
    <row r="38" spans="1:15" hidden="1" outlineLevel="1" x14ac:dyDescent="0.3">
      <c r="A38" s="1"/>
      <c r="B38" s="14">
        <v>3</v>
      </c>
      <c r="C38" s="15" t="s">
        <v>23</v>
      </c>
      <c r="D38" s="30"/>
      <c r="E38" s="17"/>
      <c r="F38" s="17"/>
      <c r="G38" s="28"/>
      <c r="H38" s="28"/>
      <c r="I38" s="11"/>
      <c r="J38" s="11"/>
      <c r="K38" s="11"/>
      <c r="L38" s="11"/>
      <c r="M38" s="11"/>
      <c r="N38" s="16"/>
      <c r="O38" s="15"/>
    </row>
    <row r="39" spans="1:15" hidden="1" outlineLevel="1" x14ac:dyDescent="0.3">
      <c r="A39" s="1"/>
      <c r="B39" s="18" t="s">
        <v>6</v>
      </c>
      <c r="C39" s="15" t="s">
        <v>52</v>
      </c>
      <c r="D39" s="30"/>
      <c r="E39" s="17"/>
      <c r="F39" s="17"/>
      <c r="G39" s="28"/>
      <c r="H39" s="28"/>
      <c r="I39" s="11"/>
      <c r="J39" s="11"/>
      <c r="K39" s="11"/>
      <c r="L39" s="11"/>
      <c r="M39" s="11"/>
      <c r="N39" s="16"/>
      <c r="O39" s="15"/>
    </row>
    <row r="40" spans="1:15" hidden="1" outlineLevel="1" x14ac:dyDescent="0.3">
      <c r="A40" s="1"/>
      <c r="B40" s="18" t="s">
        <v>6</v>
      </c>
      <c r="C40" s="15" t="s">
        <v>53</v>
      </c>
      <c r="D40" s="30"/>
      <c r="E40" s="17"/>
      <c r="F40" s="17"/>
      <c r="G40" s="28"/>
      <c r="H40" s="28"/>
      <c r="I40" s="11"/>
      <c r="J40" s="11"/>
      <c r="K40" s="11"/>
      <c r="L40" s="11"/>
      <c r="M40" s="11"/>
      <c r="N40" s="16"/>
      <c r="O40" s="15"/>
    </row>
    <row r="41" spans="1:15" hidden="1" outlineLevel="1" x14ac:dyDescent="0.3">
      <c r="A41" s="1"/>
      <c r="B41" s="18" t="s">
        <v>6</v>
      </c>
      <c r="C41" s="15"/>
      <c r="D41" s="30"/>
      <c r="E41" s="17"/>
      <c r="F41" s="17"/>
      <c r="G41" s="28"/>
      <c r="H41" s="28"/>
      <c r="I41" s="11"/>
      <c r="J41" s="11"/>
      <c r="K41" s="11"/>
      <c r="L41" s="11"/>
      <c r="M41" s="11"/>
      <c r="N41" s="16"/>
      <c r="O41" s="15"/>
    </row>
    <row r="42" spans="1:15" hidden="1" outlineLevel="1" x14ac:dyDescent="0.3">
      <c r="A42" s="1"/>
      <c r="B42" s="14"/>
      <c r="C42" s="15"/>
      <c r="D42" s="30"/>
      <c r="E42" s="17"/>
      <c r="F42" s="17"/>
      <c r="G42" s="28"/>
      <c r="H42" s="28"/>
      <c r="I42" s="11"/>
      <c r="J42" s="11"/>
      <c r="K42" s="11"/>
      <c r="L42" s="11"/>
      <c r="M42" s="11"/>
      <c r="N42" s="16"/>
      <c r="O42" s="15"/>
    </row>
    <row r="43" spans="1:15" s="2" customFormat="1" collapsed="1" x14ac:dyDescent="0.3">
      <c r="A43" s="3"/>
      <c r="B43" s="51" t="s">
        <v>97</v>
      </c>
      <c r="C43" s="52" t="s">
        <v>24</v>
      </c>
      <c r="D43" s="53"/>
      <c r="E43" s="54">
        <f>E44</f>
        <v>0.25</v>
      </c>
      <c r="F43" s="54"/>
      <c r="G43" s="55"/>
      <c r="H43" s="55"/>
      <c r="I43" s="62"/>
      <c r="J43" s="62"/>
      <c r="K43" s="62"/>
      <c r="L43" s="62"/>
      <c r="M43" s="62"/>
      <c r="N43" s="57">
        <f>N44</f>
        <v>22.5</v>
      </c>
      <c r="O43" s="52"/>
    </row>
    <row r="44" spans="1:15" x14ac:dyDescent="0.3">
      <c r="A44" s="1" t="s">
        <v>112</v>
      </c>
      <c r="B44" s="14">
        <v>1</v>
      </c>
      <c r="C44" s="15" t="s">
        <v>25</v>
      </c>
      <c r="D44" s="30"/>
      <c r="E44" s="17">
        <f>SUM(E45:E49)</f>
        <v>0.25</v>
      </c>
      <c r="F44" s="17"/>
      <c r="G44" s="28"/>
      <c r="H44" s="28"/>
      <c r="I44" s="11"/>
      <c r="J44" s="11"/>
      <c r="K44" s="11"/>
      <c r="L44" s="11"/>
      <c r="M44" s="11"/>
      <c r="N44" s="16">
        <f>SUM(N45:N48)</f>
        <v>22.5</v>
      </c>
      <c r="O44" s="15"/>
    </row>
    <row r="45" spans="1:15" s="46" customFormat="1" ht="30" customHeight="1" x14ac:dyDescent="0.3">
      <c r="A45" s="66" t="s">
        <v>113</v>
      </c>
      <c r="B45" s="47" t="s">
        <v>6</v>
      </c>
      <c r="C45" s="48" t="s">
        <v>54</v>
      </c>
      <c r="D45" s="32" t="s">
        <v>87</v>
      </c>
      <c r="E45" s="49">
        <v>2.5000000000000001E-2</v>
      </c>
      <c r="F45" s="49"/>
      <c r="G45" s="50"/>
      <c r="H45" s="50"/>
      <c r="I45" s="33"/>
      <c r="J45" s="33"/>
      <c r="K45" s="33"/>
      <c r="L45" s="33" t="s">
        <v>16</v>
      </c>
      <c r="M45" s="33"/>
      <c r="N45" s="34">
        <f>IF(I45="V",$E45*I$15,IF(J45="V",$E45*J$15,IF(K45="V",$E45*K$15,IF(L45="V",$E45*L$15,IF(M45="V",$E45*M$15,0)))))*100</f>
        <v>2.0000000000000004</v>
      </c>
      <c r="O45" s="48"/>
    </row>
    <row r="46" spans="1:15" s="46" customFormat="1" ht="30" customHeight="1" x14ac:dyDescent="0.3">
      <c r="A46" s="66" t="s">
        <v>114</v>
      </c>
      <c r="B46" s="47" t="s">
        <v>6</v>
      </c>
      <c r="C46" s="48" t="s">
        <v>58</v>
      </c>
      <c r="D46" s="32" t="s">
        <v>141</v>
      </c>
      <c r="E46" s="49">
        <v>0.1</v>
      </c>
      <c r="F46" s="49"/>
      <c r="G46" s="50"/>
      <c r="H46" s="50"/>
      <c r="I46" s="33"/>
      <c r="J46" s="33"/>
      <c r="K46" s="33"/>
      <c r="L46" s="33" t="s">
        <v>16</v>
      </c>
      <c r="M46" s="33"/>
      <c r="N46" s="34">
        <f>IF(I46="V",$E46*I$15,IF(J46="V",$E46*J$15,IF(K46="V",$E46*K$15,IF(L46="V",$E46*L$15,IF(M46="V",$E46*M$15,0)))))*100</f>
        <v>8.0000000000000018</v>
      </c>
      <c r="O46" s="48"/>
    </row>
    <row r="47" spans="1:15" s="46" customFormat="1" ht="30" customHeight="1" x14ac:dyDescent="0.3">
      <c r="A47" s="66" t="s">
        <v>115</v>
      </c>
      <c r="B47" s="47" t="s">
        <v>6</v>
      </c>
      <c r="C47" s="48" t="s">
        <v>138</v>
      </c>
      <c r="D47" s="32" t="s">
        <v>81</v>
      </c>
      <c r="E47" s="49">
        <v>0.05</v>
      </c>
      <c r="F47" s="49"/>
      <c r="G47" s="50"/>
      <c r="H47" s="50"/>
      <c r="I47" s="33"/>
      <c r="J47" s="33"/>
      <c r="K47" s="33"/>
      <c r="L47" s="33"/>
      <c r="M47" s="33" t="s">
        <v>16</v>
      </c>
      <c r="N47" s="34">
        <f>IF(I47="V",$E47*I$15,IF(J47="V",$E47*J$15,IF(K47="V",$E47*K$15,IF(L47="V",$E47*L$15,IF(M47="V",$E47*M$15,0)))))*100</f>
        <v>5</v>
      </c>
      <c r="O47" s="48"/>
    </row>
    <row r="48" spans="1:15" s="46" customFormat="1" ht="30" customHeight="1" x14ac:dyDescent="0.3">
      <c r="A48" s="66" t="s">
        <v>116</v>
      </c>
      <c r="B48" s="47" t="s">
        <v>6</v>
      </c>
      <c r="C48" s="48" t="s">
        <v>137</v>
      </c>
      <c r="D48" s="32" t="s">
        <v>139</v>
      </c>
      <c r="E48" s="49">
        <v>7.4999999999999997E-2</v>
      </c>
      <c r="F48" s="49"/>
      <c r="G48" s="50"/>
      <c r="H48" s="50"/>
      <c r="I48" s="33"/>
      <c r="J48" s="33"/>
      <c r="K48" s="33"/>
      <c r="L48" s="33"/>
      <c r="M48" s="33" t="s">
        <v>16</v>
      </c>
      <c r="N48" s="34">
        <f>IF(I48="V",$E48*I$15,IF(J48="V",$E48*J$15,IF(K48="V",$E48*K$15,IF(L48="V",$E48*L$15,IF(M48="V",$E48*M$15,0)))))*100</f>
        <v>7.5</v>
      </c>
      <c r="O48" s="48"/>
    </row>
    <row r="49" spans="1:15" x14ac:dyDescent="0.3">
      <c r="A49" s="1"/>
      <c r="B49" s="18"/>
      <c r="C49" s="15"/>
      <c r="D49" s="30"/>
      <c r="E49" s="17"/>
      <c r="F49" s="17"/>
      <c r="G49" s="28"/>
      <c r="H49" s="28"/>
      <c r="I49" s="11"/>
      <c r="J49" s="11"/>
      <c r="K49" s="11"/>
      <c r="L49" s="11"/>
      <c r="M49" s="11"/>
      <c r="N49" s="16"/>
      <c r="O49" s="15"/>
    </row>
    <row r="50" spans="1:15" hidden="1" outlineLevel="1" x14ac:dyDescent="0.3">
      <c r="A50" s="1"/>
      <c r="B50" s="14">
        <v>2</v>
      </c>
      <c r="C50" s="15" t="s">
        <v>26</v>
      </c>
      <c r="D50" s="30"/>
      <c r="E50" s="17"/>
      <c r="F50" s="17"/>
      <c r="G50" s="28"/>
      <c r="H50" s="28"/>
      <c r="I50" s="11"/>
      <c r="J50" s="11"/>
      <c r="K50" s="11"/>
      <c r="L50" s="11"/>
      <c r="M50" s="11"/>
      <c r="N50" s="16"/>
      <c r="O50" s="15"/>
    </row>
    <row r="51" spans="1:15" hidden="1" outlineLevel="1" x14ac:dyDescent="0.3">
      <c r="A51" s="1"/>
      <c r="B51" s="18" t="s">
        <v>6</v>
      </c>
      <c r="C51" s="15" t="s">
        <v>54</v>
      </c>
      <c r="D51" s="30"/>
      <c r="E51" s="17"/>
      <c r="F51" s="17"/>
      <c r="G51" s="28"/>
      <c r="H51" s="28"/>
      <c r="I51" s="11"/>
      <c r="J51" s="11"/>
      <c r="K51" s="11"/>
      <c r="L51" s="11"/>
      <c r="M51" s="11"/>
      <c r="N51" s="16"/>
      <c r="O51" s="15"/>
    </row>
    <row r="52" spans="1:15" hidden="1" outlineLevel="1" x14ac:dyDescent="0.3">
      <c r="A52" s="1"/>
      <c r="B52" s="18" t="s">
        <v>6</v>
      </c>
      <c r="C52" s="15" t="s">
        <v>55</v>
      </c>
      <c r="D52" s="30"/>
      <c r="E52" s="17"/>
      <c r="F52" s="17"/>
      <c r="G52" s="28"/>
      <c r="H52" s="28"/>
      <c r="I52" s="11"/>
      <c r="J52" s="11"/>
      <c r="K52" s="11"/>
      <c r="L52" s="11"/>
      <c r="M52" s="11"/>
      <c r="N52" s="16"/>
      <c r="O52" s="15"/>
    </row>
    <row r="53" spans="1:15" hidden="1" outlineLevel="1" x14ac:dyDescent="0.3">
      <c r="A53" s="1"/>
      <c r="B53" s="18" t="s">
        <v>6</v>
      </c>
      <c r="C53" s="15" t="s">
        <v>56</v>
      </c>
      <c r="D53" s="30"/>
      <c r="E53" s="17"/>
      <c r="F53" s="17"/>
      <c r="G53" s="28"/>
      <c r="H53" s="28"/>
      <c r="I53" s="11"/>
      <c r="J53" s="11"/>
      <c r="K53" s="11"/>
      <c r="L53" s="11"/>
      <c r="M53" s="11"/>
      <c r="N53" s="16"/>
      <c r="O53" s="15"/>
    </row>
    <row r="54" spans="1:15" hidden="1" outlineLevel="1" x14ac:dyDescent="0.3">
      <c r="A54" s="1"/>
      <c r="B54" s="18"/>
      <c r="C54" s="15"/>
      <c r="D54" s="30"/>
      <c r="E54" s="17"/>
      <c r="F54" s="17"/>
      <c r="G54" s="28"/>
      <c r="H54" s="28"/>
      <c r="I54" s="11"/>
      <c r="J54" s="11"/>
      <c r="K54" s="11"/>
      <c r="L54" s="11"/>
      <c r="M54" s="11"/>
      <c r="N54" s="16"/>
      <c r="O54" s="15"/>
    </row>
    <row r="55" spans="1:15" hidden="1" outlineLevel="1" x14ac:dyDescent="0.3">
      <c r="A55" s="1"/>
      <c r="B55" s="14">
        <v>3</v>
      </c>
      <c r="C55" s="15" t="s">
        <v>27</v>
      </c>
      <c r="D55" s="30"/>
      <c r="E55" s="17"/>
      <c r="F55" s="17"/>
      <c r="G55" s="28"/>
      <c r="H55" s="28"/>
      <c r="I55" s="11"/>
      <c r="J55" s="11"/>
      <c r="K55" s="11"/>
      <c r="L55" s="11"/>
      <c r="M55" s="11"/>
      <c r="N55" s="16"/>
      <c r="O55" s="15"/>
    </row>
    <row r="56" spans="1:15" hidden="1" outlineLevel="1" x14ac:dyDescent="0.3">
      <c r="A56" s="1"/>
      <c r="B56" s="18" t="s">
        <v>6</v>
      </c>
      <c r="C56" s="15" t="s">
        <v>54</v>
      </c>
      <c r="D56" s="30"/>
      <c r="E56" s="17"/>
      <c r="F56" s="17"/>
      <c r="G56" s="28"/>
      <c r="H56" s="28"/>
      <c r="I56" s="11"/>
      <c r="J56" s="11"/>
      <c r="K56" s="11"/>
      <c r="L56" s="11"/>
      <c r="M56" s="11"/>
      <c r="N56" s="16"/>
      <c r="O56" s="15"/>
    </row>
    <row r="57" spans="1:15" hidden="1" outlineLevel="1" x14ac:dyDescent="0.3">
      <c r="A57" s="1"/>
      <c r="B57" s="18" t="s">
        <v>6</v>
      </c>
      <c r="C57" s="15" t="s">
        <v>56</v>
      </c>
      <c r="D57" s="30"/>
      <c r="E57" s="17"/>
      <c r="F57" s="17"/>
      <c r="G57" s="28"/>
      <c r="H57" s="28"/>
      <c r="I57" s="11"/>
      <c r="J57" s="11"/>
      <c r="K57" s="11"/>
      <c r="L57" s="11"/>
      <c r="M57" s="11"/>
      <c r="N57" s="16"/>
      <c r="O57" s="15"/>
    </row>
    <row r="58" spans="1:15" hidden="1" outlineLevel="1" x14ac:dyDescent="0.3">
      <c r="A58" s="1"/>
      <c r="B58" s="18" t="s">
        <v>6</v>
      </c>
      <c r="C58" s="15" t="s">
        <v>57</v>
      </c>
      <c r="D58" s="30"/>
      <c r="E58" s="17"/>
      <c r="F58" s="17"/>
      <c r="G58" s="28"/>
      <c r="H58" s="28"/>
      <c r="I58" s="11"/>
      <c r="J58" s="11"/>
      <c r="K58" s="11"/>
      <c r="L58" s="11"/>
      <c r="M58" s="11"/>
      <c r="N58" s="16"/>
      <c r="O58" s="15"/>
    </row>
    <row r="59" spans="1:15" hidden="1" outlineLevel="1" x14ac:dyDescent="0.3">
      <c r="A59" s="1"/>
      <c r="B59" s="14"/>
      <c r="C59" s="15"/>
      <c r="D59" s="30"/>
      <c r="E59" s="17"/>
      <c r="F59" s="17"/>
      <c r="G59" s="28"/>
      <c r="H59" s="28"/>
      <c r="I59" s="11"/>
      <c r="J59" s="11"/>
      <c r="K59" s="11"/>
      <c r="L59" s="11"/>
      <c r="M59" s="11"/>
      <c r="N59" s="16"/>
      <c r="O59" s="15"/>
    </row>
    <row r="60" spans="1:15" s="2" customFormat="1" collapsed="1" x14ac:dyDescent="0.3">
      <c r="A60" s="3"/>
      <c r="B60" s="51" t="s">
        <v>98</v>
      </c>
      <c r="C60" s="52" t="s">
        <v>46</v>
      </c>
      <c r="D60" s="53"/>
      <c r="E60" s="54">
        <f>SUM(E61:E64)</f>
        <v>0.15</v>
      </c>
      <c r="F60" s="54"/>
      <c r="G60" s="55"/>
      <c r="H60" s="55"/>
      <c r="I60" s="62"/>
      <c r="J60" s="62"/>
      <c r="K60" s="62"/>
      <c r="L60" s="62"/>
      <c r="M60" s="62"/>
      <c r="N60" s="57">
        <f>SUM(N61:N64)</f>
        <v>13.5</v>
      </c>
      <c r="O60" s="52"/>
    </row>
    <row r="61" spans="1:15" s="46" customFormat="1" ht="30" customHeight="1" x14ac:dyDescent="0.3">
      <c r="A61" s="66" t="s">
        <v>117</v>
      </c>
      <c r="B61" s="47" t="s">
        <v>6</v>
      </c>
      <c r="C61" s="48" t="s">
        <v>94</v>
      </c>
      <c r="D61" s="32" t="s">
        <v>142</v>
      </c>
      <c r="E61" s="49">
        <v>7.4999999999999997E-2</v>
      </c>
      <c r="F61" s="49"/>
      <c r="G61" s="50"/>
      <c r="H61" s="50"/>
      <c r="I61" s="33"/>
      <c r="J61" s="33"/>
      <c r="K61" s="33"/>
      <c r="L61" s="33" t="s">
        <v>16</v>
      </c>
      <c r="M61" s="33"/>
      <c r="N61" s="34">
        <f t="shared" ref="N61:N63" si="4">IF(I61="V",$E61*I$15,IF(J61="V",$E61*J$15,IF(K61="V",$E61*K$15,IF(L61="V",$E61*L$15,IF(M61="V",$E61*M$15,0)))))*100</f>
        <v>6</v>
      </c>
      <c r="O61" s="48"/>
    </row>
    <row r="62" spans="1:15" s="46" customFormat="1" ht="30" customHeight="1" x14ac:dyDescent="0.3">
      <c r="A62" s="66" t="s">
        <v>118</v>
      </c>
      <c r="B62" s="47" t="s">
        <v>6</v>
      </c>
      <c r="C62" s="48" t="s">
        <v>47</v>
      </c>
      <c r="D62" s="32" t="s">
        <v>82</v>
      </c>
      <c r="E62" s="49">
        <v>0.05</v>
      </c>
      <c r="F62" s="49"/>
      <c r="G62" s="50"/>
      <c r="H62" s="50"/>
      <c r="I62" s="33"/>
      <c r="J62" s="33"/>
      <c r="K62" s="33"/>
      <c r="L62" s="33"/>
      <c r="M62" s="33" t="s">
        <v>16</v>
      </c>
      <c r="N62" s="34">
        <f t="shared" si="4"/>
        <v>5</v>
      </c>
      <c r="O62" s="48"/>
    </row>
    <row r="63" spans="1:15" s="46" customFormat="1" ht="28.8" x14ac:dyDescent="0.3">
      <c r="A63" s="66" t="s">
        <v>119</v>
      </c>
      <c r="B63" s="47" t="s">
        <v>6</v>
      </c>
      <c r="C63" s="48" t="s">
        <v>135</v>
      </c>
      <c r="D63" s="32" t="s">
        <v>136</v>
      </c>
      <c r="E63" s="49">
        <v>2.5000000000000001E-2</v>
      </c>
      <c r="F63" s="49"/>
      <c r="G63" s="50"/>
      <c r="H63" s="50"/>
      <c r="I63" s="33"/>
      <c r="J63" s="33"/>
      <c r="K63" s="33"/>
      <c r="L63" s="33"/>
      <c r="M63" s="33" t="s">
        <v>16</v>
      </c>
      <c r="N63" s="34">
        <f t="shared" si="4"/>
        <v>2.5</v>
      </c>
      <c r="O63" s="48"/>
    </row>
    <row r="64" spans="1:15" x14ac:dyDescent="0.3">
      <c r="A64" s="1"/>
      <c r="B64" s="14"/>
      <c r="C64" s="15"/>
      <c r="D64" s="30"/>
      <c r="E64" s="17"/>
      <c r="F64" s="17"/>
      <c r="G64" s="28"/>
      <c r="H64" s="28"/>
      <c r="I64" s="11"/>
      <c r="J64" s="11"/>
      <c r="K64" s="11"/>
      <c r="L64" s="11"/>
      <c r="M64" s="11"/>
      <c r="N64" s="16"/>
      <c r="O64" s="15"/>
    </row>
    <row r="65" spans="1:15" s="2" customFormat="1" x14ac:dyDescent="0.3">
      <c r="A65" s="3"/>
      <c r="B65" s="51" t="s">
        <v>99</v>
      </c>
      <c r="C65" s="52" t="s">
        <v>48</v>
      </c>
      <c r="D65" s="53"/>
      <c r="E65" s="54">
        <f>SUM(E66:E68)</f>
        <v>0.05</v>
      </c>
      <c r="F65" s="54"/>
      <c r="G65" s="55"/>
      <c r="H65" s="55"/>
      <c r="I65" s="62"/>
      <c r="J65" s="62"/>
      <c r="K65" s="62"/>
      <c r="L65" s="62"/>
      <c r="M65" s="62"/>
      <c r="N65" s="57">
        <f>SUM(N66:N68)</f>
        <v>4.2</v>
      </c>
      <c r="O65" s="52"/>
    </row>
    <row r="66" spans="1:15" s="46" customFormat="1" ht="30" customHeight="1" x14ac:dyDescent="0.3">
      <c r="A66" s="66" t="s">
        <v>120</v>
      </c>
      <c r="B66" s="47" t="s">
        <v>6</v>
      </c>
      <c r="C66" s="48" t="s">
        <v>60</v>
      </c>
      <c r="D66" s="32" t="s">
        <v>85</v>
      </c>
      <c r="E66" s="49">
        <v>0.04</v>
      </c>
      <c r="F66" s="49"/>
      <c r="G66" s="50"/>
      <c r="H66" s="50"/>
      <c r="I66" s="33"/>
      <c r="J66" s="33"/>
      <c r="K66" s="33"/>
      <c r="L66" s="33" t="s">
        <v>16</v>
      </c>
      <c r="M66" s="33"/>
      <c r="N66" s="34">
        <f t="shared" ref="N66:N67" si="5">IF(I66="V",$E66*I$15,IF(J66="V",$E66*J$15,IF(K66="V",$E66*K$15,IF(L66="V",$E66*L$15,IF(M66="V",$E66*M$15,0)))))*100</f>
        <v>3.2</v>
      </c>
      <c r="O66" s="48"/>
    </row>
    <row r="67" spans="1:15" s="46" customFormat="1" ht="30" customHeight="1" x14ac:dyDescent="0.3">
      <c r="A67" s="66" t="s">
        <v>121</v>
      </c>
      <c r="B67" s="47" t="s">
        <v>6</v>
      </c>
      <c r="C67" s="48" t="s">
        <v>59</v>
      </c>
      <c r="D67" s="32" t="s">
        <v>86</v>
      </c>
      <c r="E67" s="49">
        <v>0.01</v>
      </c>
      <c r="F67" s="49"/>
      <c r="G67" s="50"/>
      <c r="H67" s="50"/>
      <c r="I67" s="33"/>
      <c r="J67" s="33"/>
      <c r="K67" s="33"/>
      <c r="L67" s="33"/>
      <c r="M67" s="33" t="s">
        <v>16</v>
      </c>
      <c r="N67" s="34">
        <f t="shared" si="5"/>
        <v>1</v>
      </c>
      <c r="O67" s="48"/>
    </row>
    <row r="68" spans="1:15" s="46" customFormat="1" x14ac:dyDescent="0.3">
      <c r="A68" s="66"/>
      <c r="B68" s="33"/>
      <c r="C68" s="48"/>
      <c r="D68" s="32"/>
      <c r="E68" s="49"/>
      <c r="F68" s="49"/>
      <c r="G68" s="50"/>
      <c r="H68" s="50"/>
      <c r="I68" s="33"/>
      <c r="J68" s="33"/>
      <c r="K68" s="33"/>
      <c r="L68" s="33"/>
      <c r="M68" s="33"/>
      <c r="N68" s="34"/>
      <c r="O68" s="48"/>
    </row>
    <row r="69" spans="1:15" s="2" customFormat="1" x14ac:dyDescent="0.3">
      <c r="A69" s="3"/>
      <c r="B69" s="51" t="s">
        <v>100</v>
      </c>
      <c r="C69" s="52" t="s">
        <v>134</v>
      </c>
      <c r="D69" s="53"/>
      <c r="E69" s="54">
        <f>SUM(E70:E70)</f>
        <v>0.05</v>
      </c>
      <c r="F69" s="54"/>
      <c r="G69" s="55"/>
      <c r="H69" s="55"/>
      <c r="I69" s="62"/>
      <c r="J69" s="62"/>
      <c r="K69" s="62"/>
      <c r="L69" s="62"/>
      <c r="M69" s="62"/>
      <c r="N69" s="57">
        <f>SUM(N70)</f>
        <v>3</v>
      </c>
      <c r="O69" s="52"/>
    </row>
    <row r="70" spans="1:15" s="46" customFormat="1" ht="30" customHeight="1" x14ac:dyDescent="0.3">
      <c r="A70" s="66" t="s">
        <v>122</v>
      </c>
      <c r="B70" s="47" t="s">
        <v>6</v>
      </c>
      <c r="C70" s="48" t="s">
        <v>49</v>
      </c>
      <c r="D70" s="32" t="s">
        <v>145</v>
      </c>
      <c r="E70" s="49">
        <v>0.05</v>
      </c>
      <c r="F70" s="49"/>
      <c r="G70" s="50"/>
      <c r="H70" s="50"/>
      <c r="I70" s="33"/>
      <c r="J70" s="33"/>
      <c r="K70" s="33" t="s">
        <v>16</v>
      </c>
      <c r="L70" s="33"/>
      <c r="M70" s="33"/>
      <c r="N70" s="34">
        <f t="shared" ref="N70" si="6">IF(I70="V",$E70*I$15,IF(J70="V",$E70*J$15,IF(K70="V",$E70*K$15,IF(L70="V",$E70*L$15,IF(M70="V",$E70*M$15,0)))))*100</f>
        <v>3</v>
      </c>
      <c r="O70" s="48"/>
    </row>
    <row r="71" spans="1:15" x14ac:dyDescent="0.3">
      <c r="B71" s="19"/>
      <c r="C71" s="20"/>
      <c r="D71" s="31"/>
      <c r="E71" s="22"/>
      <c r="F71" s="22"/>
      <c r="G71" s="29"/>
      <c r="H71" s="29"/>
      <c r="I71" s="23"/>
      <c r="J71" s="23"/>
      <c r="K71" s="23"/>
      <c r="L71" s="23"/>
      <c r="M71" s="23"/>
      <c r="N71" s="21"/>
      <c r="O71" s="20"/>
    </row>
    <row r="73" spans="1:15" x14ac:dyDescent="0.3">
      <c r="I73" s="26" t="s">
        <v>61</v>
      </c>
    </row>
    <row r="74" spans="1:15" x14ac:dyDescent="0.3">
      <c r="I74" s="7" t="s">
        <v>39</v>
      </c>
      <c r="J74" s="7" t="s">
        <v>29</v>
      </c>
      <c r="K74" s="25" t="s">
        <v>69</v>
      </c>
    </row>
    <row r="75" spans="1:15" x14ac:dyDescent="0.3">
      <c r="I75" s="7" t="s">
        <v>40</v>
      </c>
      <c r="J75" s="7" t="s">
        <v>29</v>
      </c>
      <c r="K75" s="25" t="s">
        <v>70</v>
      </c>
    </row>
    <row r="76" spans="1:15" x14ac:dyDescent="0.3">
      <c r="I76" s="7" t="s">
        <v>41</v>
      </c>
      <c r="J76" s="7" t="s">
        <v>29</v>
      </c>
      <c r="K76" s="25" t="s">
        <v>71</v>
      </c>
    </row>
    <row r="77" spans="1:15" x14ac:dyDescent="0.3">
      <c r="I77" s="7" t="s">
        <v>42</v>
      </c>
      <c r="J77" s="7" t="s">
        <v>29</v>
      </c>
      <c r="K77" s="25" t="s">
        <v>72</v>
      </c>
    </row>
    <row r="78" spans="1:15" x14ac:dyDescent="0.3">
      <c r="I78" s="7" t="s">
        <v>43</v>
      </c>
      <c r="J78" s="7" t="s">
        <v>29</v>
      </c>
      <c r="K78" s="25" t="s">
        <v>73</v>
      </c>
    </row>
  </sheetData>
  <mergeCells count="9">
    <mergeCell ref="O13:O14"/>
    <mergeCell ref="D13:D14"/>
    <mergeCell ref="G13:H13"/>
    <mergeCell ref="A13:A14"/>
    <mergeCell ref="B13:B14"/>
    <mergeCell ref="C13:C14"/>
    <mergeCell ref="E13:E14"/>
    <mergeCell ref="I13:M13"/>
    <mergeCell ref="N13:N1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3089-86C5-474F-9AAB-A6163E6F8B72}">
  <sheetPr>
    <tabColor rgb="FFFF0000"/>
  </sheetPr>
  <dimension ref="A1:K22"/>
  <sheetViews>
    <sheetView zoomScaleNormal="100" workbookViewId="0">
      <pane xSplit="1" ySplit="7" topLeftCell="B8" activePane="bottomRight" state="frozen"/>
      <selection activeCell="C5" sqref="C5"/>
      <selection pane="topRight" activeCell="C5" sqref="C5"/>
      <selection pane="bottomLeft" activeCell="C5" sqref="C5"/>
      <selection pane="bottomRight" activeCell="H22" sqref="H22"/>
    </sheetView>
  </sheetViews>
  <sheetFormatPr defaultColWidth="8.88671875" defaultRowHeight="14.4" x14ac:dyDescent="0.3"/>
  <cols>
    <col min="1" max="1" width="4.44140625" customWidth="1"/>
    <col min="2" max="2" width="4.33203125" style="1" bestFit="1" customWidth="1"/>
    <col min="3" max="3" width="20.6640625" bestFit="1" customWidth="1"/>
    <col min="4" max="4" width="25" style="4" bestFit="1" customWidth="1"/>
    <col min="5" max="7" width="7.6640625" style="7" customWidth="1"/>
    <col min="8" max="8" width="10.109375" style="7" bestFit="1" customWidth="1"/>
    <col min="9" max="9" width="9.109375" style="4"/>
    <col min="10" max="10" width="16.88671875" customWidth="1"/>
    <col min="11" max="11" width="20.44140625" customWidth="1"/>
  </cols>
  <sheetData>
    <row r="1" spans="1:11" x14ac:dyDescent="0.3">
      <c r="A1" s="2" t="s">
        <v>124</v>
      </c>
    </row>
    <row r="2" spans="1:11" x14ac:dyDescent="0.3">
      <c r="A2" s="2" t="s">
        <v>0</v>
      </c>
    </row>
    <row r="4" spans="1:11" ht="18" x14ac:dyDescent="0.35">
      <c r="B4" s="79" t="s">
        <v>133</v>
      </c>
      <c r="C4" s="79"/>
      <c r="D4" s="79"/>
      <c r="E4" s="79"/>
      <c r="F4" s="79"/>
      <c r="G4" s="79"/>
      <c r="H4" s="79"/>
      <c r="I4" s="79"/>
      <c r="J4" s="79"/>
      <c r="K4" s="79"/>
    </row>
    <row r="6" spans="1:11" s="2" customFormat="1" x14ac:dyDescent="0.3">
      <c r="B6" s="74" t="s">
        <v>2</v>
      </c>
      <c r="C6" s="74" t="s">
        <v>125</v>
      </c>
      <c r="D6" s="69" t="s">
        <v>126</v>
      </c>
      <c r="E6" s="80" t="s">
        <v>37</v>
      </c>
      <c r="F6" s="81"/>
      <c r="G6" s="81"/>
      <c r="H6" s="82"/>
      <c r="I6" s="78" t="s">
        <v>17</v>
      </c>
      <c r="J6" s="68" t="s">
        <v>61</v>
      </c>
      <c r="K6" s="68" t="s">
        <v>140</v>
      </c>
    </row>
    <row r="7" spans="1:11" s="2" customFormat="1" x14ac:dyDescent="0.3">
      <c r="B7" s="74"/>
      <c r="C7" s="75"/>
      <c r="D7" s="70"/>
      <c r="E7" s="42" t="s">
        <v>68</v>
      </c>
      <c r="F7" s="42" t="s">
        <v>92</v>
      </c>
      <c r="G7" s="42" t="s">
        <v>93</v>
      </c>
      <c r="H7" s="42" t="s">
        <v>95</v>
      </c>
      <c r="I7" s="78"/>
      <c r="J7" s="68"/>
      <c r="K7" s="68"/>
    </row>
    <row r="8" spans="1:11" s="2" customFormat="1" x14ac:dyDescent="0.3">
      <c r="A8" s="3"/>
      <c r="B8" s="10"/>
      <c r="C8" s="10"/>
      <c r="D8" s="10"/>
      <c r="E8" s="12"/>
      <c r="F8" s="12"/>
      <c r="G8" s="12"/>
      <c r="H8" s="12"/>
      <c r="I8" s="8"/>
      <c r="J8" s="13"/>
      <c r="K8" s="13"/>
    </row>
    <row r="9" spans="1:11" s="46" customFormat="1" x14ac:dyDescent="0.3">
      <c r="A9" s="66"/>
      <c r="B9" s="47">
        <v>1</v>
      </c>
      <c r="C9" s="48" t="s">
        <v>30</v>
      </c>
      <c r="D9" s="32" t="s">
        <v>131</v>
      </c>
      <c r="E9" s="65">
        <f>RESUME!G16</f>
        <v>70.8</v>
      </c>
      <c r="F9" s="65">
        <f>RESUME!H16</f>
        <v>58.8</v>
      </c>
      <c r="G9" s="65" t="e">
        <f>RESUME!I16</f>
        <v>#REF!</v>
      </c>
      <c r="H9" s="65" t="e">
        <f>RESUME!J16</f>
        <v>#REF!</v>
      </c>
      <c r="I9" s="34">
        <f t="shared" ref="I9:I13" si="0">IFERROR(AVERAGE(E9:H9),0)</f>
        <v>0</v>
      </c>
      <c r="J9" s="48" t="str">
        <f>IF(I9&gt;=70,"LULUS",IF(I9&gt;=60,"LULUS DENGAN CATATAN",IF(I9&lt;60,"TIDAK LULUS",0)))</f>
        <v>TIDAK LULUS</v>
      </c>
      <c r="K9" s="48"/>
    </row>
    <row r="10" spans="1:11" s="46" customFormat="1" x14ac:dyDescent="0.3">
      <c r="A10" s="66"/>
      <c r="B10" s="47">
        <f>B9+1</f>
        <v>2</v>
      </c>
      <c r="C10" s="48" t="s">
        <v>127</v>
      </c>
      <c r="D10" s="32" t="s">
        <v>132</v>
      </c>
      <c r="E10" s="65"/>
      <c r="F10" s="65"/>
      <c r="G10" s="65"/>
      <c r="H10" s="65"/>
      <c r="I10" s="34">
        <f t="shared" si="0"/>
        <v>0</v>
      </c>
      <c r="J10" s="48" t="str">
        <f t="shared" ref="J10:J13" si="1">IF(I10&gt;=70,"LULUS",IF(I10&gt;=60,"LULUS DENGAN CATATAN",IF(I10&lt;60,"TIDAK LULUS",0)))</f>
        <v>TIDAK LULUS</v>
      </c>
      <c r="K10" s="48"/>
    </row>
    <row r="11" spans="1:11" s="46" customFormat="1" x14ac:dyDescent="0.3">
      <c r="A11" s="66"/>
      <c r="B11" s="47">
        <f t="shared" ref="B11:B13" si="2">B10+1</f>
        <v>3</v>
      </c>
      <c r="C11" s="48" t="s">
        <v>128</v>
      </c>
      <c r="D11" s="32" t="s">
        <v>131</v>
      </c>
      <c r="E11" s="65"/>
      <c r="F11" s="65"/>
      <c r="G11" s="65"/>
      <c r="H11" s="65"/>
      <c r="I11" s="34">
        <f t="shared" si="0"/>
        <v>0</v>
      </c>
      <c r="J11" s="48" t="str">
        <f t="shared" si="1"/>
        <v>TIDAK LULUS</v>
      </c>
      <c r="K11" s="48"/>
    </row>
    <row r="12" spans="1:11" s="46" customFormat="1" x14ac:dyDescent="0.3">
      <c r="A12" s="66"/>
      <c r="B12" s="47">
        <f t="shared" si="2"/>
        <v>4</v>
      </c>
      <c r="C12" s="48" t="s">
        <v>129</v>
      </c>
      <c r="D12" s="32" t="s">
        <v>131</v>
      </c>
      <c r="E12" s="65"/>
      <c r="F12" s="65"/>
      <c r="G12" s="65"/>
      <c r="H12" s="65"/>
      <c r="I12" s="34">
        <f t="shared" si="0"/>
        <v>0</v>
      </c>
      <c r="J12" s="48" t="str">
        <f t="shared" si="1"/>
        <v>TIDAK LULUS</v>
      </c>
      <c r="K12" s="48"/>
    </row>
    <row r="13" spans="1:11" s="46" customFormat="1" x14ac:dyDescent="0.3">
      <c r="A13" s="66"/>
      <c r="B13" s="47">
        <f t="shared" si="2"/>
        <v>5</v>
      </c>
      <c r="C13" s="48" t="s">
        <v>130</v>
      </c>
      <c r="D13" s="32" t="s">
        <v>131</v>
      </c>
      <c r="E13" s="65"/>
      <c r="F13" s="65"/>
      <c r="G13" s="65"/>
      <c r="H13" s="65"/>
      <c r="I13" s="34">
        <f t="shared" si="0"/>
        <v>0</v>
      </c>
      <c r="J13" s="48" t="str">
        <f t="shared" si="1"/>
        <v>TIDAK LULUS</v>
      </c>
      <c r="K13" s="48"/>
    </row>
    <row r="14" spans="1:11" x14ac:dyDescent="0.3">
      <c r="A14" s="1"/>
      <c r="B14" s="14"/>
      <c r="C14" s="15"/>
      <c r="D14" s="30"/>
      <c r="E14" s="11"/>
      <c r="F14" s="11"/>
      <c r="G14" s="11"/>
      <c r="H14" s="11"/>
      <c r="I14" s="16"/>
      <c r="J14" s="15"/>
      <c r="K14" s="15"/>
    </row>
    <row r="15" spans="1:11" x14ac:dyDescent="0.3">
      <c r="B15" s="19"/>
      <c r="C15" s="20"/>
      <c r="D15" s="31"/>
      <c r="E15" s="23"/>
      <c r="F15" s="23"/>
      <c r="G15" s="23"/>
      <c r="H15" s="23"/>
      <c r="I15" s="21"/>
      <c r="J15" s="20"/>
      <c r="K15" s="20"/>
    </row>
    <row r="17" spans="5:8" x14ac:dyDescent="0.3">
      <c r="E17" s="26"/>
    </row>
    <row r="18" spans="5:8" x14ac:dyDescent="0.3">
      <c r="G18" s="25"/>
      <c r="H18" s="25"/>
    </row>
    <row r="19" spans="5:8" x14ac:dyDescent="0.3">
      <c r="G19" s="25"/>
      <c r="H19" s="25"/>
    </row>
    <row r="20" spans="5:8" x14ac:dyDescent="0.3">
      <c r="G20" s="25"/>
      <c r="H20" s="25"/>
    </row>
    <row r="21" spans="5:8" x14ac:dyDescent="0.3">
      <c r="G21" s="25"/>
      <c r="H21" s="25"/>
    </row>
    <row r="22" spans="5:8" x14ac:dyDescent="0.3">
      <c r="G22" s="25"/>
      <c r="H22" s="25"/>
    </row>
  </sheetData>
  <mergeCells count="8">
    <mergeCell ref="J6:J7"/>
    <mergeCell ref="K6:K7"/>
    <mergeCell ref="B4:K4"/>
    <mergeCell ref="B6:B7"/>
    <mergeCell ref="C6:C7"/>
    <mergeCell ref="D6:D7"/>
    <mergeCell ref="E6:H6"/>
    <mergeCell ref="I6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BBFF-2F81-454A-A625-1DA7F72EDAC4}">
  <sheetPr>
    <tabColor rgb="FFFF0000"/>
  </sheetPr>
  <dimension ref="A1:L78"/>
  <sheetViews>
    <sheetView zoomScaleNormal="100" workbookViewId="0">
      <pane xSplit="1" ySplit="14" topLeftCell="B23" activePane="bottomRight" state="frozen"/>
      <selection activeCell="C5" sqref="C5"/>
      <selection pane="topRight" activeCell="C5" sqref="C5"/>
      <selection pane="bottomLeft" activeCell="C5" sqref="C5"/>
      <selection pane="bottomRight" activeCell="D30" sqref="D30"/>
    </sheetView>
  </sheetViews>
  <sheetFormatPr defaultColWidth="8.88671875" defaultRowHeight="14.4" outlineLevelRow="1" x14ac:dyDescent="0.3"/>
  <cols>
    <col min="1" max="1" width="17.6640625" customWidth="1"/>
    <col min="2" max="2" width="4.33203125" style="1" bestFit="1" customWidth="1"/>
    <col min="3" max="3" width="40.109375" bestFit="1" customWidth="1"/>
    <col min="4" max="4" width="70.6640625" style="4" customWidth="1"/>
    <col min="5" max="5" width="9.109375" style="5"/>
    <col min="6" max="6" width="1.6640625" style="5" customWidth="1"/>
    <col min="7" max="9" width="7.6640625" style="7" customWidth="1"/>
    <col min="10" max="10" width="10.109375" style="7" bestFit="1" customWidth="1"/>
    <col min="11" max="11" width="9.109375" style="4"/>
    <col min="12" max="12" width="16.88671875" customWidth="1"/>
  </cols>
  <sheetData>
    <row r="1" spans="1:12" x14ac:dyDescent="0.3">
      <c r="A1" s="2" t="s">
        <v>124</v>
      </c>
    </row>
    <row r="2" spans="1:12" x14ac:dyDescent="0.3">
      <c r="A2" s="2" t="s">
        <v>0</v>
      </c>
    </row>
    <row r="5" spans="1:12" x14ac:dyDescent="0.3">
      <c r="A5" s="2" t="s">
        <v>1</v>
      </c>
      <c r="B5" s="1" t="s">
        <v>29</v>
      </c>
      <c r="C5" s="2" t="s">
        <v>143</v>
      </c>
    </row>
    <row r="6" spans="1:12" x14ac:dyDescent="0.3">
      <c r="A6" s="2" t="s">
        <v>20</v>
      </c>
      <c r="B6" s="1" t="s">
        <v>29</v>
      </c>
      <c r="C6" t="s">
        <v>31</v>
      </c>
    </row>
    <row r="7" spans="1:12" x14ac:dyDescent="0.3">
      <c r="A7" s="2" t="s">
        <v>32</v>
      </c>
      <c r="B7" s="1" t="s">
        <v>29</v>
      </c>
      <c r="C7" t="s">
        <v>33</v>
      </c>
    </row>
    <row r="8" spans="1:12" x14ac:dyDescent="0.3">
      <c r="A8" s="2" t="s">
        <v>34</v>
      </c>
      <c r="B8" s="1" t="s">
        <v>29</v>
      </c>
      <c r="C8" t="s">
        <v>35</v>
      </c>
    </row>
    <row r="9" spans="1:12" x14ac:dyDescent="0.3">
      <c r="A9" s="2" t="s">
        <v>28</v>
      </c>
      <c r="B9" s="1" t="s">
        <v>29</v>
      </c>
      <c r="C9" t="s">
        <v>83</v>
      </c>
    </row>
    <row r="10" spans="1:12" x14ac:dyDescent="0.3">
      <c r="A10" s="2" t="s">
        <v>68</v>
      </c>
      <c r="B10" s="1" t="s">
        <v>29</v>
      </c>
      <c r="C10" s="2" t="s">
        <v>62</v>
      </c>
    </row>
    <row r="11" spans="1:12" x14ac:dyDescent="0.3">
      <c r="A11" s="2" t="s">
        <v>67</v>
      </c>
      <c r="B11" s="1" t="s">
        <v>29</v>
      </c>
      <c r="C11" s="24" t="e">
        <f>K16</f>
        <v>#REF!</v>
      </c>
    </row>
    <row r="13" spans="1:12" s="2" customFormat="1" x14ac:dyDescent="0.3">
      <c r="A13" s="73" t="s">
        <v>123</v>
      </c>
      <c r="B13" s="74" t="s">
        <v>2</v>
      </c>
      <c r="C13" s="74" t="s">
        <v>3</v>
      </c>
      <c r="D13" s="69" t="s">
        <v>74</v>
      </c>
      <c r="E13" s="76" t="s">
        <v>19</v>
      </c>
      <c r="F13" s="43"/>
      <c r="G13" s="80" t="s">
        <v>37</v>
      </c>
      <c r="H13" s="81"/>
      <c r="I13" s="81"/>
      <c r="J13" s="82"/>
      <c r="K13" s="78" t="s">
        <v>17</v>
      </c>
      <c r="L13" s="68" t="s">
        <v>61</v>
      </c>
    </row>
    <row r="14" spans="1:12" s="2" customFormat="1" x14ac:dyDescent="0.3">
      <c r="A14" s="73"/>
      <c r="B14" s="74"/>
      <c r="C14" s="75"/>
      <c r="D14" s="70"/>
      <c r="E14" s="77"/>
      <c r="F14" s="45"/>
      <c r="G14" s="42" t="s">
        <v>68</v>
      </c>
      <c r="H14" s="42" t="s">
        <v>92</v>
      </c>
      <c r="I14" s="42" t="s">
        <v>93</v>
      </c>
      <c r="J14" s="42" t="s">
        <v>95</v>
      </c>
      <c r="K14" s="78"/>
      <c r="L14" s="68"/>
    </row>
    <row r="15" spans="1:12" s="2" customFormat="1" x14ac:dyDescent="0.3">
      <c r="A15" s="3"/>
      <c r="B15" s="10"/>
      <c r="C15" s="10"/>
      <c r="D15" s="10"/>
      <c r="E15" s="10"/>
      <c r="F15" s="9"/>
      <c r="G15" s="12"/>
      <c r="H15" s="12"/>
      <c r="I15" s="12"/>
      <c r="J15" s="12"/>
      <c r="K15" s="8"/>
      <c r="L15" s="13"/>
    </row>
    <row r="16" spans="1:12" s="2" customFormat="1" x14ac:dyDescent="0.3">
      <c r="B16" s="35"/>
      <c r="C16" s="36" t="s">
        <v>65</v>
      </c>
      <c r="D16" s="37"/>
      <c r="E16" s="38">
        <f>E17+E21+E27+E43+E60+E65+E69</f>
        <v>1</v>
      </c>
      <c r="F16" s="38"/>
      <c r="G16" s="41">
        <f t="shared" ref="G16:J16" si="0">G17+G21+G27+G43+G60+G65+G69</f>
        <v>70.8</v>
      </c>
      <c r="H16" s="41">
        <f t="shared" si="0"/>
        <v>58.8</v>
      </c>
      <c r="I16" s="41" t="e">
        <f t="shared" si="0"/>
        <v>#REF!</v>
      </c>
      <c r="J16" s="41" t="e">
        <f t="shared" si="0"/>
        <v>#REF!</v>
      </c>
      <c r="K16" s="41" t="e">
        <f>K17+K21+K27+K43+K60+K65+K69</f>
        <v>#REF!</v>
      </c>
      <c r="L16" s="36"/>
    </row>
    <row r="17" spans="1:12" x14ac:dyDescent="0.3">
      <c r="B17" s="51" t="s">
        <v>66</v>
      </c>
      <c r="C17" s="52" t="s">
        <v>4</v>
      </c>
      <c r="D17" s="53"/>
      <c r="E17" s="54">
        <f>SUM(E18:E19)</f>
        <v>0.1</v>
      </c>
      <c r="F17" s="54"/>
      <c r="G17" s="57">
        <f t="shared" ref="G17:J17" si="1">SUM(G18:G20)</f>
        <v>6</v>
      </c>
      <c r="H17" s="57">
        <f t="shared" si="1"/>
        <v>4</v>
      </c>
      <c r="I17" s="57" t="e">
        <f t="shared" si="1"/>
        <v>#REF!</v>
      </c>
      <c r="J17" s="57" t="e">
        <f t="shared" si="1"/>
        <v>#REF!</v>
      </c>
      <c r="K17" s="57" t="e">
        <f>SUM(K18:K20)</f>
        <v>#REF!</v>
      </c>
      <c r="L17" s="58"/>
    </row>
    <row r="18" spans="1:12" s="46" customFormat="1" ht="30" customHeight="1" x14ac:dyDescent="0.3">
      <c r="A18" s="66" t="s">
        <v>101</v>
      </c>
      <c r="B18" s="47">
        <v>1</v>
      </c>
      <c r="C18" s="48" t="str">
        <f>VLOOKUP($A18,PERTANYAAN!$A$18:$E$71,3,0)</f>
        <v>Pengalaman di dalam Daniswara Group</v>
      </c>
      <c r="D18" s="48" t="str">
        <f>VLOOKUP($A18,PERTANYAAN!$A$18:$E$71,4,0)</f>
        <v>Apakah ada Pengalaman di Daniswara Group? Bagaimana pandangan anda terkait Daniswara Group?</v>
      </c>
      <c r="E18" s="49">
        <f>VLOOKUP($A18,PERTANYAAN!$A$18:$E$71,5,0)</f>
        <v>0.06</v>
      </c>
      <c r="F18" s="49"/>
      <c r="G18" s="65">
        <f>+'PENILAIAN-HR'!M18</f>
        <v>6</v>
      </c>
      <c r="H18" s="65">
        <f>+'PENILAIAN-ILHAM'!M18</f>
        <v>0</v>
      </c>
      <c r="I18" s="65" t="e">
        <f>+#REF!</f>
        <v>#REF!</v>
      </c>
      <c r="J18" s="65" t="e">
        <f>+#REF!</f>
        <v>#REF!</v>
      </c>
      <c r="K18" s="34" t="e">
        <f>AVERAGE(G18:J18)</f>
        <v>#REF!</v>
      </c>
      <c r="L18" s="48"/>
    </row>
    <row r="19" spans="1:12" s="46" customFormat="1" ht="30" customHeight="1" x14ac:dyDescent="0.3">
      <c r="A19" s="66" t="s">
        <v>102</v>
      </c>
      <c r="B19" s="47">
        <f>B18+1</f>
        <v>2</v>
      </c>
      <c r="C19" s="48" t="str">
        <f>VLOOKUP($A19,PERTANYAAN!$A$18:$E$71,3,0)</f>
        <v>Pengalaman di luar Daniswara Group</v>
      </c>
      <c r="D19" s="48" t="str">
        <f>VLOOKUP($A19,PERTANYAAN!$A$18:$E$71,4,0)</f>
        <v>Jika tidak, apakah sudah ada pengalaman sejenis di luar Daniswara?</v>
      </c>
      <c r="E19" s="49">
        <f>VLOOKUP($A19,PERTANYAAN!$A$18:$E$71,5,0)</f>
        <v>0.04</v>
      </c>
      <c r="F19" s="49"/>
      <c r="G19" s="65">
        <f>+'PENILAIAN-HR'!M19</f>
        <v>0</v>
      </c>
      <c r="H19" s="65">
        <f>+'PENILAIAN-ILHAM'!M19</f>
        <v>4</v>
      </c>
      <c r="I19" s="65" t="e">
        <f>+#REF!</f>
        <v>#REF!</v>
      </c>
      <c r="J19" s="65" t="e">
        <f>+#REF!</f>
        <v>#REF!</v>
      </c>
      <c r="K19" s="34" t="e">
        <f t="shared" ref="K19" si="2">AVERAGE(G19:J19)</f>
        <v>#REF!</v>
      </c>
      <c r="L19" s="48"/>
    </row>
    <row r="20" spans="1:12" x14ac:dyDescent="0.3">
      <c r="A20" s="1"/>
      <c r="B20" s="14"/>
      <c r="C20" s="15"/>
      <c r="D20" s="30"/>
      <c r="E20" s="17"/>
      <c r="F20" s="17"/>
      <c r="G20" s="11"/>
      <c r="H20" s="11"/>
      <c r="I20" s="11"/>
      <c r="J20" s="11"/>
      <c r="K20" s="16"/>
      <c r="L20" s="15"/>
    </row>
    <row r="21" spans="1:12" x14ac:dyDescent="0.3">
      <c r="A21" s="1"/>
      <c r="B21" s="51" t="s">
        <v>42</v>
      </c>
      <c r="C21" s="52" t="s">
        <v>9</v>
      </c>
      <c r="D21" s="53"/>
      <c r="E21" s="54">
        <f>SUM(E22:E25)</f>
        <v>0.05</v>
      </c>
      <c r="F21" s="54"/>
      <c r="G21" s="57">
        <f t="shared" ref="G21:J21" si="3">SUM(G22:G25)</f>
        <v>5</v>
      </c>
      <c r="H21" s="57">
        <f t="shared" si="3"/>
        <v>2</v>
      </c>
      <c r="I21" s="57" t="e">
        <f t="shared" si="3"/>
        <v>#REF!</v>
      </c>
      <c r="J21" s="57" t="e">
        <f t="shared" si="3"/>
        <v>#REF!</v>
      </c>
      <c r="K21" s="57" t="e">
        <f>SUM(K22:K25)</f>
        <v>#REF!</v>
      </c>
      <c r="L21" s="58"/>
    </row>
    <row r="22" spans="1:12" s="46" customFormat="1" ht="30" customHeight="1" x14ac:dyDescent="0.3">
      <c r="A22" s="66" t="s">
        <v>103</v>
      </c>
      <c r="B22" s="47">
        <v>1</v>
      </c>
      <c r="C22" s="48" t="str">
        <f>VLOOKUP($A22,PERTANYAAN!$A$18:$E$71,3,0)</f>
        <v>Identitas (KTP &amp; KK)</v>
      </c>
      <c r="D22" s="48" t="str">
        <f>VLOOKUP($A22,PERTANYAAN!$A$18:$E$71,4,0)</f>
        <v>Apakah ada Identitas Diri KTP &amp; KK?</v>
      </c>
      <c r="E22" s="49">
        <f>VLOOKUP($A22,PERTANYAAN!$A$18:$E$71,5,0)</f>
        <v>0.01</v>
      </c>
      <c r="F22" s="49"/>
      <c r="G22" s="65">
        <f>+'PENILAIAN-HR'!M22</f>
        <v>1</v>
      </c>
      <c r="H22" s="65">
        <f>+'PENILAIAN-ILHAM'!M22</f>
        <v>1</v>
      </c>
      <c r="I22" s="65" t="e">
        <f>+#REF!</f>
        <v>#REF!</v>
      </c>
      <c r="J22" s="65" t="e">
        <f>+#REF!</f>
        <v>#REF!</v>
      </c>
      <c r="K22" s="34" t="e">
        <f t="shared" ref="K22:K25" si="4">AVERAGE(G22:J22)</f>
        <v>#REF!</v>
      </c>
      <c r="L22" s="48"/>
    </row>
    <row r="23" spans="1:12" s="46" customFormat="1" ht="30" customHeight="1" x14ac:dyDescent="0.3">
      <c r="A23" s="66" t="s">
        <v>104</v>
      </c>
      <c r="B23" s="47">
        <f>B22+1</f>
        <v>2</v>
      </c>
      <c r="C23" s="48" t="str">
        <f>VLOOKUP($A23,PERTANYAAN!$A$18:$E$71,3,0)</f>
        <v>SIM A (utk jabatan di Divisi Operasi)</v>
      </c>
      <c r="D23" s="48" t="str">
        <f>VLOOKUP($A23,PERTANYAAN!$A$18:$E$71,4,0)</f>
        <v>Apakah sudah memiliki SIM A?</v>
      </c>
      <c r="E23" s="49">
        <f>VLOOKUP($A23,PERTANYAAN!$A$18:$E$71,5,0)</f>
        <v>0.02</v>
      </c>
      <c r="F23" s="49"/>
      <c r="G23" s="65">
        <f>+'PENILAIAN-HR'!M23</f>
        <v>2</v>
      </c>
      <c r="H23" s="65">
        <f>+'PENILAIAN-ILHAM'!M23</f>
        <v>0</v>
      </c>
      <c r="I23" s="65" t="e">
        <f>+#REF!</f>
        <v>#REF!</v>
      </c>
      <c r="J23" s="65" t="e">
        <f>+#REF!</f>
        <v>#REF!</v>
      </c>
      <c r="K23" s="34" t="e">
        <f t="shared" si="4"/>
        <v>#REF!</v>
      </c>
      <c r="L23" s="48"/>
    </row>
    <row r="24" spans="1:12" s="46" customFormat="1" ht="30" customHeight="1" x14ac:dyDescent="0.3">
      <c r="A24" s="66" t="s">
        <v>105</v>
      </c>
      <c r="B24" s="47">
        <f t="shared" ref="B24:B25" si="5">B23+1</f>
        <v>3</v>
      </c>
      <c r="C24" s="48" t="str">
        <f>VLOOKUP($A24,PERTANYAAN!$A$18:$E$71,3,0)</f>
        <v>SIM C</v>
      </c>
      <c r="D24" s="48" t="str">
        <f>VLOOKUP($A24,PERTANYAAN!$A$18:$E$71,4,0)</f>
        <v>Apakah sudah memiliki SIM C?</v>
      </c>
      <c r="E24" s="49">
        <f>VLOOKUP($A24,PERTANYAAN!$A$18:$E$71,5,0)</f>
        <v>0.01</v>
      </c>
      <c r="F24" s="49"/>
      <c r="G24" s="65">
        <f>+'PENILAIAN-HR'!M24</f>
        <v>1</v>
      </c>
      <c r="H24" s="65">
        <f>+'PENILAIAN-ILHAM'!M24</f>
        <v>1</v>
      </c>
      <c r="I24" s="65" t="e">
        <f>+#REF!</f>
        <v>#REF!</v>
      </c>
      <c r="J24" s="65" t="e">
        <f>+#REF!</f>
        <v>#REF!</v>
      </c>
      <c r="K24" s="34" t="e">
        <f t="shared" si="4"/>
        <v>#REF!</v>
      </c>
      <c r="L24" s="48"/>
    </row>
    <row r="25" spans="1:12" s="46" customFormat="1" ht="30" customHeight="1" x14ac:dyDescent="0.3">
      <c r="A25" s="66" t="s">
        <v>106</v>
      </c>
      <c r="B25" s="47">
        <f t="shared" si="5"/>
        <v>4</v>
      </c>
      <c r="C25" s="48" t="str">
        <f>VLOOKUP($A25,PERTANYAAN!$A$18:$E$71,3,0)</f>
        <v>NPWP</v>
      </c>
      <c r="D25" s="48" t="str">
        <f>VLOOKUP($A25,PERTANYAAN!$A$18:$E$71,4,0)</f>
        <v>Apakah sudah Memiliki NPWP?</v>
      </c>
      <c r="E25" s="49">
        <f>VLOOKUP($A25,PERTANYAAN!$A$18:$E$71,5,0)</f>
        <v>0.01</v>
      </c>
      <c r="F25" s="49"/>
      <c r="G25" s="65">
        <f>+'PENILAIAN-HR'!M25</f>
        <v>1</v>
      </c>
      <c r="H25" s="65">
        <f>+'PENILAIAN-ILHAM'!M25</f>
        <v>0</v>
      </c>
      <c r="I25" s="65" t="e">
        <f>+#REF!</f>
        <v>#REF!</v>
      </c>
      <c r="J25" s="65" t="e">
        <f>+#REF!</f>
        <v>#REF!</v>
      </c>
      <c r="K25" s="34" t="e">
        <f t="shared" si="4"/>
        <v>#REF!</v>
      </c>
      <c r="L25" s="48"/>
    </row>
    <row r="26" spans="1:12" x14ac:dyDescent="0.3">
      <c r="A26" s="1"/>
      <c r="B26" s="14"/>
      <c r="C26" s="15"/>
      <c r="D26" s="30"/>
      <c r="E26" s="17"/>
      <c r="F26" s="17"/>
      <c r="G26" s="11"/>
      <c r="H26" s="11"/>
      <c r="I26" s="11"/>
      <c r="J26" s="11"/>
      <c r="K26" s="16"/>
      <c r="L26" s="15"/>
    </row>
    <row r="27" spans="1:12" x14ac:dyDescent="0.3">
      <c r="A27" s="1"/>
      <c r="B27" s="51" t="s">
        <v>96</v>
      </c>
      <c r="C27" s="52" t="s">
        <v>21</v>
      </c>
      <c r="D27" s="59"/>
      <c r="E27" s="54">
        <f>E28</f>
        <v>0.35000000000000003</v>
      </c>
      <c r="F27" s="60"/>
      <c r="G27" s="57">
        <f t="shared" ref="G27:J27" si="6">G28</f>
        <v>23</v>
      </c>
      <c r="H27" s="57">
        <f t="shared" si="6"/>
        <v>17.5</v>
      </c>
      <c r="I27" s="57" t="e">
        <f t="shared" si="6"/>
        <v>#REF!</v>
      </c>
      <c r="J27" s="57" t="e">
        <f t="shared" si="6"/>
        <v>#REF!</v>
      </c>
      <c r="K27" s="57" t="e">
        <f>K28</f>
        <v>#REF!</v>
      </c>
      <c r="L27" s="58"/>
    </row>
    <row r="28" spans="1:12" x14ac:dyDescent="0.3">
      <c r="A28" s="66" t="s">
        <v>107</v>
      </c>
      <c r="B28" s="18">
        <v>1</v>
      </c>
      <c r="C28" s="48" t="str">
        <f>VLOOKUP($A28,PERTANYAAN!$A$18:$E$71,3,0)</f>
        <v>Operasi / Logistik</v>
      </c>
      <c r="D28" s="30"/>
      <c r="E28" s="49">
        <f>VLOOKUP($A28,PERTANYAAN!$A$18:$E$71,5,0)</f>
        <v>0.35000000000000003</v>
      </c>
      <c r="F28" s="17"/>
      <c r="G28" s="16">
        <f t="shared" ref="G28:J28" si="7">SUM(G29:G33)</f>
        <v>23</v>
      </c>
      <c r="H28" s="16">
        <f t="shared" si="7"/>
        <v>17.5</v>
      </c>
      <c r="I28" s="16" t="e">
        <f t="shared" si="7"/>
        <v>#REF!</v>
      </c>
      <c r="J28" s="16" t="e">
        <f t="shared" si="7"/>
        <v>#REF!</v>
      </c>
      <c r="K28" s="16" t="e">
        <f>SUM(K29:K33)</f>
        <v>#REF!</v>
      </c>
      <c r="L28" s="15"/>
    </row>
    <row r="29" spans="1:12" s="46" customFormat="1" ht="30" customHeight="1" x14ac:dyDescent="0.3">
      <c r="A29" s="66" t="s">
        <v>108</v>
      </c>
      <c r="B29" s="47" t="s">
        <v>6</v>
      </c>
      <c r="C29" s="48" t="str">
        <f>VLOOKUP($A29,PERTANYAAN!$A$18:$E$71,3,0)</f>
        <v>Skill Mengemudi</v>
      </c>
      <c r="D29" s="48" t="str">
        <f>VLOOKUP($A29,PERTANYAAN!$A$18:$E$71,4,0)</f>
        <v>Coba ceritakan pengalaman / keahlian dalam mengemudi mobil angkut/logistik?</v>
      </c>
      <c r="E29" s="49">
        <f>VLOOKUP($A29,PERTANYAAN!$A$18:$E$71,5,0)</f>
        <v>0.15</v>
      </c>
      <c r="F29" s="49"/>
      <c r="G29" s="65">
        <f>+'PENILAIAN-HR'!M29</f>
        <v>12</v>
      </c>
      <c r="H29" s="65">
        <f>+'PENILAIAN-ILHAM'!M29</f>
        <v>3</v>
      </c>
      <c r="I29" s="65" t="e">
        <f>+#REF!</f>
        <v>#REF!</v>
      </c>
      <c r="J29" s="65" t="e">
        <f>+#REF!</f>
        <v>#REF!</v>
      </c>
      <c r="K29" s="34" t="e">
        <f t="shared" ref="K29:K32" si="8">AVERAGE(G29:J29)</f>
        <v>#REF!</v>
      </c>
      <c r="L29" s="48"/>
    </row>
    <row r="30" spans="1:12" s="46" customFormat="1" ht="30" customHeight="1" x14ac:dyDescent="0.3">
      <c r="A30" s="66" t="s">
        <v>109</v>
      </c>
      <c r="B30" s="47" t="s">
        <v>6</v>
      </c>
      <c r="C30" s="48" t="str">
        <f>VLOOKUP($A30,PERTANYAAN!$A$18:$E$71,3,0)</f>
        <v>Flow Administrasi Logistik</v>
      </c>
      <c r="D30" s="48" t="str">
        <f>VLOOKUP($A30,PERTANYAAN!$A$18:$E$71,4,0)</f>
        <v>Coba ceritakan yang anda ketahui tentang alur administrasi logistik? Dan kaitannya dengan Ms. Office</v>
      </c>
      <c r="E30" s="49">
        <f>VLOOKUP($A30,PERTANYAAN!$A$18:$E$71,5,0)</f>
        <v>0.1</v>
      </c>
      <c r="F30" s="49"/>
      <c r="G30" s="65">
        <f>+'PENILAIAN-HR'!M30</f>
        <v>6</v>
      </c>
      <c r="H30" s="65">
        <f>+'PENILAIAN-ILHAM'!M30</f>
        <v>8.0000000000000018</v>
      </c>
      <c r="I30" s="65" t="e">
        <f>+#REF!</f>
        <v>#REF!</v>
      </c>
      <c r="J30" s="65" t="e">
        <f>+#REF!</f>
        <v>#REF!</v>
      </c>
      <c r="K30" s="34" t="e">
        <f t="shared" si="8"/>
        <v>#REF!</v>
      </c>
      <c r="L30" s="48"/>
    </row>
    <row r="31" spans="1:12" s="46" customFormat="1" ht="30" customHeight="1" x14ac:dyDescent="0.3">
      <c r="A31" s="66" t="s">
        <v>110</v>
      </c>
      <c r="B31" s="47" t="s">
        <v>6</v>
      </c>
      <c r="C31" s="48" t="str">
        <f>VLOOKUP($A31,PERTANYAAN!$A$18:$E$71,3,0)</f>
        <v>Pengetahuan terkait logistik</v>
      </c>
      <c r="D31" s="48" t="str">
        <f>VLOOKUP($A31,PERTANYAAN!$A$18:$E$71,4,0)</f>
        <v>Ceritakan yang anda ketahui terkait dengan logistik?</v>
      </c>
      <c r="E31" s="49">
        <f>VLOOKUP($A31,PERTANYAAN!$A$18:$E$71,5,0)</f>
        <v>2.5000000000000001E-2</v>
      </c>
      <c r="F31" s="49"/>
      <c r="G31" s="65">
        <f>+'PENILAIAN-HR'!M31</f>
        <v>2.0000000000000004</v>
      </c>
      <c r="H31" s="65">
        <f>+'PENILAIAN-ILHAM'!M31</f>
        <v>2.0000000000000004</v>
      </c>
      <c r="I31" s="65" t="e">
        <f>+#REF!</f>
        <v>#REF!</v>
      </c>
      <c r="J31" s="65" t="e">
        <f>+#REF!</f>
        <v>#REF!</v>
      </c>
      <c r="K31" s="34" t="e">
        <f t="shared" si="8"/>
        <v>#REF!</v>
      </c>
      <c r="L31" s="48"/>
    </row>
    <row r="32" spans="1:12" s="46" customFormat="1" ht="30" customHeight="1" x14ac:dyDescent="0.3">
      <c r="A32" s="66" t="s">
        <v>111</v>
      </c>
      <c r="B32" s="47" t="s">
        <v>6</v>
      </c>
      <c r="C32" s="48" t="str">
        <f>VLOOKUP($A32,PERTANYAAN!$A$18:$E$71,3,0)</f>
        <v>Pengalaman di Bongkar Muat</v>
      </c>
      <c r="D32" s="48" t="str">
        <f>VLOOKUP($A32,PERTANYAAN!$A$18:$E$71,4,0)</f>
        <v>Apakah memiliki pengalaman terkait bongkar muat?sedalam apa?</v>
      </c>
      <c r="E32" s="49">
        <f>VLOOKUP($A32,PERTANYAAN!$A$18:$E$71,5,0)</f>
        <v>7.4999999999999997E-2</v>
      </c>
      <c r="F32" s="49"/>
      <c r="G32" s="65">
        <f>+'PENILAIAN-HR'!M32</f>
        <v>3</v>
      </c>
      <c r="H32" s="65">
        <f>+'PENILAIAN-ILHAM'!M32</f>
        <v>4.5</v>
      </c>
      <c r="I32" s="65" t="e">
        <f>+#REF!</f>
        <v>#REF!</v>
      </c>
      <c r="J32" s="65" t="e">
        <f>+#REF!</f>
        <v>#REF!</v>
      </c>
      <c r="K32" s="34" t="e">
        <f t="shared" si="8"/>
        <v>#REF!</v>
      </c>
      <c r="L32" s="48"/>
    </row>
    <row r="33" spans="1:12" x14ac:dyDescent="0.3">
      <c r="A33" s="1"/>
      <c r="B33" s="18"/>
      <c r="C33" s="15"/>
      <c r="D33" s="30"/>
      <c r="E33" s="17"/>
      <c r="F33" s="17"/>
      <c r="G33" s="11"/>
      <c r="H33" s="11"/>
      <c r="I33" s="11"/>
      <c r="J33" s="11"/>
      <c r="K33" s="16"/>
      <c r="L33" s="15"/>
    </row>
    <row r="34" spans="1:12" hidden="1" outlineLevel="1" x14ac:dyDescent="0.3">
      <c r="A34" s="1"/>
      <c r="B34" s="18">
        <f>B28+1</f>
        <v>2</v>
      </c>
      <c r="C34" s="15" t="s">
        <v>22</v>
      </c>
      <c r="D34" s="30"/>
      <c r="E34" s="17">
        <f>SUM(E35:E37)</f>
        <v>0.35</v>
      </c>
      <c r="F34" s="17"/>
      <c r="G34" s="11"/>
      <c r="H34" s="11"/>
      <c r="I34" s="11"/>
      <c r="J34" s="11"/>
      <c r="K34" s="16"/>
      <c r="L34" s="15"/>
    </row>
    <row r="35" spans="1:12" hidden="1" outlineLevel="1" x14ac:dyDescent="0.3">
      <c r="A35" s="1"/>
      <c r="B35" s="18" t="s">
        <v>6</v>
      </c>
      <c r="C35" s="15" t="s">
        <v>44</v>
      </c>
      <c r="D35" s="30"/>
      <c r="E35" s="17">
        <v>0.15</v>
      </c>
      <c r="F35" s="17"/>
      <c r="G35" s="11"/>
      <c r="H35" s="11"/>
      <c r="I35" s="11"/>
      <c r="J35" s="11"/>
      <c r="K35" s="16"/>
      <c r="L35" s="15"/>
    </row>
    <row r="36" spans="1:12" hidden="1" outlineLevel="1" x14ac:dyDescent="0.3">
      <c r="A36" s="1"/>
      <c r="B36" s="18" t="s">
        <v>6</v>
      </c>
      <c r="C36" s="15" t="s">
        <v>50</v>
      </c>
      <c r="D36" s="30"/>
      <c r="E36" s="17">
        <v>0.2</v>
      </c>
      <c r="F36" s="17"/>
      <c r="G36" s="11"/>
      <c r="H36" s="11"/>
      <c r="I36" s="11"/>
      <c r="J36" s="11"/>
      <c r="K36" s="16"/>
      <c r="L36" s="15"/>
    </row>
    <row r="37" spans="1:12" hidden="1" outlineLevel="1" x14ac:dyDescent="0.3">
      <c r="A37" s="1"/>
      <c r="B37" s="18"/>
      <c r="C37" s="15"/>
      <c r="D37" s="30"/>
      <c r="E37" s="17"/>
      <c r="F37" s="17"/>
      <c r="G37" s="11"/>
      <c r="H37" s="11"/>
      <c r="I37" s="11"/>
      <c r="J37" s="11"/>
      <c r="K37" s="16"/>
      <c r="L37" s="15"/>
    </row>
    <row r="38" spans="1:12" hidden="1" outlineLevel="1" x14ac:dyDescent="0.3">
      <c r="A38" s="1"/>
      <c r="B38" s="14">
        <v>3</v>
      </c>
      <c r="C38" s="15" t="s">
        <v>23</v>
      </c>
      <c r="D38" s="30"/>
      <c r="E38" s="17"/>
      <c r="F38" s="17"/>
      <c r="G38" s="11"/>
      <c r="H38" s="11"/>
      <c r="I38" s="11"/>
      <c r="J38" s="11"/>
      <c r="K38" s="16"/>
      <c r="L38" s="15"/>
    </row>
    <row r="39" spans="1:12" hidden="1" outlineLevel="1" x14ac:dyDescent="0.3">
      <c r="A39" s="1"/>
      <c r="B39" s="18" t="s">
        <v>6</v>
      </c>
      <c r="C39" s="15" t="s">
        <v>52</v>
      </c>
      <c r="D39" s="30"/>
      <c r="E39" s="17"/>
      <c r="F39" s="17"/>
      <c r="G39" s="11"/>
      <c r="H39" s="11"/>
      <c r="I39" s="11"/>
      <c r="J39" s="11"/>
      <c r="K39" s="16"/>
      <c r="L39" s="15"/>
    </row>
    <row r="40" spans="1:12" hidden="1" outlineLevel="1" x14ac:dyDescent="0.3">
      <c r="A40" s="1"/>
      <c r="B40" s="18" t="s">
        <v>6</v>
      </c>
      <c r="C40" s="15" t="s">
        <v>53</v>
      </c>
      <c r="D40" s="30"/>
      <c r="E40" s="17"/>
      <c r="F40" s="17"/>
      <c r="G40" s="11"/>
      <c r="H40" s="11"/>
      <c r="I40" s="11"/>
      <c r="J40" s="11"/>
      <c r="K40" s="16"/>
      <c r="L40" s="15"/>
    </row>
    <row r="41" spans="1:12" hidden="1" outlineLevel="1" x14ac:dyDescent="0.3">
      <c r="A41" s="1"/>
      <c r="B41" s="18" t="s">
        <v>6</v>
      </c>
      <c r="C41" s="15"/>
      <c r="D41" s="30"/>
      <c r="E41" s="17"/>
      <c r="F41" s="17"/>
      <c r="G41" s="11"/>
      <c r="H41" s="11"/>
      <c r="I41" s="11"/>
      <c r="J41" s="11"/>
      <c r="K41" s="16"/>
      <c r="L41" s="15"/>
    </row>
    <row r="42" spans="1:12" hidden="1" outlineLevel="1" x14ac:dyDescent="0.3">
      <c r="A42" s="1"/>
      <c r="B42" s="14"/>
      <c r="C42" s="15"/>
      <c r="D42" s="30"/>
      <c r="E42" s="17"/>
      <c r="F42" s="17"/>
      <c r="G42" s="11"/>
      <c r="H42" s="11"/>
      <c r="I42" s="11"/>
      <c r="J42" s="11"/>
      <c r="K42" s="16"/>
      <c r="L42" s="15"/>
    </row>
    <row r="43" spans="1:12" s="2" customFormat="1" collapsed="1" x14ac:dyDescent="0.3">
      <c r="A43" s="3"/>
      <c r="B43" s="51" t="s">
        <v>97</v>
      </c>
      <c r="C43" s="52" t="s">
        <v>24</v>
      </c>
      <c r="D43" s="53"/>
      <c r="E43" s="54">
        <f>E44</f>
        <v>0.25</v>
      </c>
      <c r="F43" s="54"/>
      <c r="G43" s="57">
        <f t="shared" ref="G43:J43" si="9">G44</f>
        <v>18</v>
      </c>
      <c r="H43" s="57">
        <f t="shared" si="9"/>
        <v>20.5</v>
      </c>
      <c r="I43" s="57" t="e">
        <f t="shared" si="9"/>
        <v>#REF!</v>
      </c>
      <c r="J43" s="57" t="e">
        <f t="shared" si="9"/>
        <v>#REF!</v>
      </c>
      <c r="K43" s="57" t="e">
        <f>K44</f>
        <v>#REF!</v>
      </c>
      <c r="L43" s="52"/>
    </row>
    <row r="44" spans="1:12" x14ac:dyDescent="0.3">
      <c r="A44" s="1" t="s">
        <v>112</v>
      </c>
      <c r="B44" s="14">
        <v>1</v>
      </c>
      <c r="C44" s="48" t="str">
        <f>VLOOKUP($A44,PERTANYAAN!$A$18:$E$71,3,0)</f>
        <v>Staff</v>
      </c>
      <c r="D44" s="30"/>
      <c r="E44" s="17">
        <f>SUM(E45:E49)</f>
        <v>0.25</v>
      </c>
      <c r="F44" s="17"/>
      <c r="G44" s="16">
        <f t="shared" ref="G44:J44" si="10">SUM(G45:G48)</f>
        <v>18</v>
      </c>
      <c r="H44" s="16">
        <f t="shared" si="10"/>
        <v>20.5</v>
      </c>
      <c r="I44" s="16" t="e">
        <f t="shared" si="10"/>
        <v>#REF!</v>
      </c>
      <c r="J44" s="16" t="e">
        <f t="shared" si="10"/>
        <v>#REF!</v>
      </c>
      <c r="K44" s="16" t="e">
        <f>SUM(K45:K48)</f>
        <v>#REF!</v>
      </c>
      <c r="L44" s="15"/>
    </row>
    <row r="45" spans="1:12" s="46" customFormat="1" ht="30" customHeight="1" x14ac:dyDescent="0.3">
      <c r="A45" s="66" t="s">
        <v>113</v>
      </c>
      <c r="B45" s="47" t="s">
        <v>6</v>
      </c>
      <c r="C45" s="48" t="str">
        <f>VLOOKUP($A45,PERTANYAAN!$A$18:$E$71,3,0)</f>
        <v>Kepemimpinan</v>
      </c>
      <c r="D45" s="48" t="str">
        <f>VLOOKUP($A45,PERTANYAAN!$A$18:$E$71,4,0)</f>
        <v>Jika terjadi suatu diskusi dalam group/kelompok yang belum menemukan titik temu, apa yang akan anda lakukan?</v>
      </c>
      <c r="E45" s="49">
        <f>VLOOKUP($A45,PERTANYAAN!$A$18:$E$71,5,0)</f>
        <v>2.5000000000000001E-2</v>
      </c>
      <c r="F45" s="49"/>
      <c r="G45" s="65">
        <f>+'PENILAIAN-HR'!M45</f>
        <v>1.0000000000000002</v>
      </c>
      <c r="H45" s="65">
        <f>+'PENILAIAN-ILHAM'!M45</f>
        <v>2.0000000000000004</v>
      </c>
      <c r="I45" s="65" t="e">
        <f>+#REF!</f>
        <v>#REF!</v>
      </c>
      <c r="J45" s="65" t="e">
        <f>+#REF!</f>
        <v>#REF!</v>
      </c>
      <c r="K45" s="34" t="e">
        <f t="shared" ref="K45:K48" si="11">AVERAGE(G45:J45)</f>
        <v>#REF!</v>
      </c>
      <c r="L45" s="48"/>
    </row>
    <row r="46" spans="1:12" s="46" customFormat="1" ht="30" customHeight="1" x14ac:dyDescent="0.3">
      <c r="A46" s="66" t="s">
        <v>114</v>
      </c>
      <c r="B46" s="47" t="s">
        <v>6</v>
      </c>
      <c r="C46" s="48" t="str">
        <f>VLOOKUP($A46,PERTANYAAN!$A$18:$E$71,3,0)</f>
        <v>Komunikasi</v>
      </c>
      <c r="D46" s="48" t="str">
        <f>VLOOKUP($A46,PERTANYAAN!$A$18:$E$71,4,0)</f>
        <v>Bagaimana hubungan kerjasama antar sesama pegawai / organisasi / kelompok?(jika memiliki pengalaman kerja)</v>
      </c>
      <c r="E46" s="49">
        <f>VLOOKUP($A46,PERTANYAAN!$A$18:$E$71,5,0)</f>
        <v>0.1</v>
      </c>
      <c r="F46" s="49"/>
      <c r="G46" s="65">
        <f>+'PENILAIAN-HR'!M46</f>
        <v>6</v>
      </c>
      <c r="H46" s="65">
        <f>+'PENILAIAN-ILHAM'!M46</f>
        <v>10</v>
      </c>
      <c r="I46" s="65" t="e">
        <f>+#REF!</f>
        <v>#REF!</v>
      </c>
      <c r="J46" s="65" t="e">
        <f>+#REF!</f>
        <v>#REF!</v>
      </c>
      <c r="K46" s="34" t="e">
        <f t="shared" si="11"/>
        <v>#REF!</v>
      </c>
      <c r="L46" s="48"/>
    </row>
    <row r="47" spans="1:12" s="46" customFormat="1" ht="30" customHeight="1" x14ac:dyDescent="0.3">
      <c r="A47" s="66" t="s">
        <v>115</v>
      </c>
      <c r="B47" s="47" t="s">
        <v>6</v>
      </c>
      <c r="C47" s="48" t="str">
        <f>VLOOKUP($A47,PERTANYAAN!$A$18:$E$71,3,0)</f>
        <v>Patuh pada Peraturan / Commitment</v>
      </c>
      <c r="D47" s="48" t="str">
        <f>VLOOKUP($A47,PERTANYAAN!$A$18:$E$71,4,0)</f>
        <v>Bagaimana pandangan anda terkait perusahaan dan aturan yang dapat berubah ubah sesuai arah perusahaan?</v>
      </c>
      <c r="E47" s="49">
        <f>VLOOKUP($A47,PERTANYAAN!$A$18:$E$71,5,0)</f>
        <v>0.05</v>
      </c>
      <c r="F47" s="49"/>
      <c r="G47" s="65">
        <f>+'PENILAIAN-HR'!M47</f>
        <v>5</v>
      </c>
      <c r="H47" s="65">
        <f>+'PENILAIAN-ILHAM'!M47</f>
        <v>4.0000000000000009</v>
      </c>
      <c r="I47" s="65" t="e">
        <f>+#REF!</f>
        <v>#REF!</v>
      </c>
      <c r="J47" s="65" t="e">
        <f>+#REF!</f>
        <v>#REF!</v>
      </c>
      <c r="K47" s="34" t="e">
        <f t="shared" si="11"/>
        <v>#REF!</v>
      </c>
      <c r="L47" s="48"/>
    </row>
    <row r="48" spans="1:12" s="46" customFormat="1" ht="30" customHeight="1" x14ac:dyDescent="0.3">
      <c r="A48" s="66" t="s">
        <v>116</v>
      </c>
      <c r="B48" s="47" t="s">
        <v>6</v>
      </c>
      <c r="C48" s="48" t="str">
        <f>VLOOKUP($A48,PERTANYAAN!$A$18:$E$71,3,0)</f>
        <v>Determinasi thd tekanan</v>
      </c>
      <c r="D48" s="48" t="str">
        <f>VLOOKUP($A48,PERTANYAAN!$A$18:$E$71,4,0)</f>
        <v>Bagaimana pandangan anda jika anda dituntut pada pekerjaan diluar dari waktu normal dalam bekerja?</v>
      </c>
      <c r="E48" s="49">
        <f>VLOOKUP($A48,PERTANYAAN!$A$18:$E$71,5,0)</f>
        <v>7.4999999999999997E-2</v>
      </c>
      <c r="F48" s="49"/>
      <c r="G48" s="65">
        <f>+'PENILAIAN-HR'!M48</f>
        <v>6</v>
      </c>
      <c r="H48" s="65">
        <f>+'PENILAIAN-ILHAM'!M48</f>
        <v>4.5</v>
      </c>
      <c r="I48" s="65" t="e">
        <f>+#REF!</f>
        <v>#REF!</v>
      </c>
      <c r="J48" s="65" t="e">
        <f>+#REF!</f>
        <v>#REF!</v>
      </c>
      <c r="K48" s="34" t="e">
        <f t="shared" si="11"/>
        <v>#REF!</v>
      </c>
      <c r="L48" s="48"/>
    </row>
    <row r="49" spans="1:12" x14ac:dyDescent="0.3">
      <c r="A49" s="1"/>
      <c r="B49" s="18"/>
      <c r="C49" s="15"/>
      <c r="D49" s="30"/>
      <c r="E49" s="17"/>
      <c r="F49" s="17"/>
      <c r="G49" s="11"/>
      <c r="H49" s="11"/>
      <c r="I49" s="11"/>
      <c r="J49" s="11"/>
      <c r="K49" s="16"/>
      <c r="L49" s="15"/>
    </row>
    <row r="50" spans="1:12" hidden="1" outlineLevel="1" x14ac:dyDescent="0.3">
      <c r="A50" s="1"/>
      <c r="B50" s="14">
        <v>2</v>
      </c>
      <c r="C50" s="15" t="s">
        <v>26</v>
      </c>
      <c r="D50" s="30"/>
      <c r="E50" s="17"/>
      <c r="F50" s="17"/>
      <c r="G50" s="11"/>
      <c r="H50" s="11"/>
      <c r="I50" s="11"/>
      <c r="J50" s="11"/>
      <c r="K50" s="16"/>
      <c r="L50" s="15"/>
    </row>
    <row r="51" spans="1:12" hidden="1" outlineLevel="1" x14ac:dyDescent="0.3">
      <c r="A51" s="1"/>
      <c r="B51" s="18" t="s">
        <v>6</v>
      </c>
      <c r="C51" s="15" t="s">
        <v>54</v>
      </c>
      <c r="D51" s="30"/>
      <c r="E51" s="17"/>
      <c r="F51" s="17"/>
      <c r="G51" s="11"/>
      <c r="H51" s="11"/>
      <c r="I51" s="11"/>
      <c r="J51" s="11"/>
      <c r="K51" s="16"/>
      <c r="L51" s="15"/>
    </row>
    <row r="52" spans="1:12" hidden="1" outlineLevel="1" x14ac:dyDescent="0.3">
      <c r="A52" s="1"/>
      <c r="B52" s="18" t="s">
        <v>6</v>
      </c>
      <c r="C52" s="15" t="s">
        <v>55</v>
      </c>
      <c r="D52" s="30"/>
      <c r="E52" s="17"/>
      <c r="F52" s="17"/>
      <c r="G52" s="11"/>
      <c r="H52" s="11"/>
      <c r="I52" s="11"/>
      <c r="J52" s="11"/>
      <c r="K52" s="16"/>
      <c r="L52" s="15"/>
    </row>
    <row r="53" spans="1:12" hidden="1" outlineLevel="1" x14ac:dyDescent="0.3">
      <c r="A53" s="1"/>
      <c r="B53" s="18" t="s">
        <v>6</v>
      </c>
      <c r="C53" s="15" t="s">
        <v>56</v>
      </c>
      <c r="D53" s="30"/>
      <c r="E53" s="17"/>
      <c r="F53" s="17"/>
      <c r="G53" s="11"/>
      <c r="H53" s="11"/>
      <c r="I53" s="11"/>
      <c r="J53" s="11"/>
      <c r="K53" s="16"/>
      <c r="L53" s="15"/>
    </row>
    <row r="54" spans="1:12" hidden="1" outlineLevel="1" x14ac:dyDescent="0.3">
      <c r="A54" s="1"/>
      <c r="B54" s="18"/>
      <c r="C54" s="15"/>
      <c r="D54" s="30"/>
      <c r="E54" s="17"/>
      <c r="F54" s="17"/>
      <c r="G54" s="11"/>
      <c r="H54" s="11"/>
      <c r="I54" s="11"/>
      <c r="J54" s="11"/>
      <c r="K54" s="16"/>
      <c r="L54" s="15"/>
    </row>
    <row r="55" spans="1:12" hidden="1" outlineLevel="1" x14ac:dyDescent="0.3">
      <c r="A55" s="1"/>
      <c r="B55" s="14">
        <v>3</v>
      </c>
      <c r="C55" s="15" t="s">
        <v>27</v>
      </c>
      <c r="D55" s="30"/>
      <c r="E55" s="17"/>
      <c r="F55" s="17"/>
      <c r="G55" s="11"/>
      <c r="H55" s="11"/>
      <c r="I55" s="11"/>
      <c r="J55" s="11"/>
      <c r="K55" s="16"/>
      <c r="L55" s="15"/>
    </row>
    <row r="56" spans="1:12" hidden="1" outlineLevel="1" x14ac:dyDescent="0.3">
      <c r="A56" s="1"/>
      <c r="B56" s="18" t="s">
        <v>6</v>
      </c>
      <c r="C56" s="15" t="s">
        <v>54</v>
      </c>
      <c r="D56" s="30"/>
      <c r="E56" s="17"/>
      <c r="F56" s="17"/>
      <c r="G56" s="11"/>
      <c r="H56" s="11"/>
      <c r="I56" s="11"/>
      <c r="J56" s="11"/>
      <c r="K56" s="16"/>
      <c r="L56" s="15"/>
    </row>
    <row r="57" spans="1:12" hidden="1" outlineLevel="1" x14ac:dyDescent="0.3">
      <c r="A57" s="1"/>
      <c r="B57" s="18" t="s">
        <v>6</v>
      </c>
      <c r="C57" s="15" t="s">
        <v>56</v>
      </c>
      <c r="D57" s="30"/>
      <c r="E57" s="17"/>
      <c r="F57" s="17"/>
      <c r="G57" s="11"/>
      <c r="H57" s="11"/>
      <c r="I57" s="11"/>
      <c r="J57" s="11"/>
      <c r="K57" s="16"/>
      <c r="L57" s="15"/>
    </row>
    <row r="58" spans="1:12" hidden="1" outlineLevel="1" x14ac:dyDescent="0.3">
      <c r="A58" s="1"/>
      <c r="B58" s="18" t="s">
        <v>6</v>
      </c>
      <c r="C58" s="15" t="s">
        <v>57</v>
      </c>
      <c r="D58" s="30"/>
      <c r="E58" s="17"/>
      <c r="F58" s="17"/>
      <c r="G58" s="11"/>
      <c r="H58" s="11"/>
      <c r="I58" s="11"/>
      <c r="J58" s="11"/>
      <c r="K58" s="16"/>
      <c r="L58" s="15"/>
    </row>
    <row r="59" spans="1:12" hidden="1" outlineLevel="1" x14ac:dyDescent="0.3">
      <c r="A59" s="1"/>
      <c r="B59" s="14"/>
      <c r="C59" s="15"/>
      <c r="D59" s="30"/>
      <c r="E59" s="17"/>
      <c r="F59" s="17"/>
      <c r="G59" s="11"/>
      <c r="H59" s="11"/>
      <c r="I59" s="11"/>
      <c r="J59" s="11"/>
      <c r="K59" s="16"/>
      <c r="L59" s="15"/>
    </row>
    <row r="60" spans="1:12" s="2" customFormat="1" collapsed="1" x14ac:dyDescent="0.3">
      <c r="A60" s="3"/>
      <c r="B60" s="51" t="s">
        <v>98</v>
      </c>
      <c r="C60" s="52" t="s">
        <v>46</v>
      </c>
      <c r="D60" s="53"/>
      <c r="E60" s="54">
        <f>SUM(E61:E64)</f>
        <v>0.15</v>
      </c>
      <c r="F60" s="54"/>
      <c r="G60" s="57">
        <f t="shared" ref="G60:J60" si="12">SUM(G61:G64)</f>
        <v>11</v>
      </c>
      <c r="H60" s="57">
        <f t="shared" si="12"/>
        <v>12</v>
      </c>
      <c r="I60" s="57" t="e">
        <f t="shared" si="12"/>
        <v>#REF!</v>
      </c>
      <c r="J60" s="57" t="e">
        <f t="shared" si="12"/>
        <v>#REF!</v>
      </c>
      <c r="K60" s="57" t="e">
        <f>SUM(K61:K64)</f>
        <v>#REF!</v>
      </c>
      <c r="L60" s="52"/>
    </row>
    <row r="61" spans="1:12" s="46" customFormat="1" ht="30" customHeight="1" x14ac:dyDescent="0.3">
      <c r="A61" s="66" t="s">
        <v>117</v>
      </c>
      <c r="B61" s="47" t="s">
        <v>6</v>
      </c>
      <c r="C61" s="48" t="str">
        <f>VLOOKUP($A61,PERTANYAAN!$A$18:$E$71,3,0)</f>
        <v>Antusiasme / Keinginan bergabung</v>
      </c>
      <c r="D61" s="48" t="str">
        <f>VLOOKUP($A61,PERTANYAAN!$A$18:$E$71,4,0)</f>
        <v>Apa yang anda pikirkan setelah mendengar / mengetahui Daniswara membutuhkan personil baru di posisi ini?</v>
      </c>
      <c r="E61" s="49">
        <f>VLOOKUP($A61,PERTANYAAN!$A$18:$E$71,5,0)</f>
        <v>7.4999999999999997E-2</v>
      </c>
      <c r="F61" s="49"/>
      <c r="G61" s="65">
        <f>+'PENILAIAN-HR'!M61</f>
        <v>6</v>
      </c>
      <c r="H61" s="65">
        <f>+'PENILAIAN-ILHAM'!M61</f>
        <v>6</v>
      </c>
      <c r="I61" s="65" t="e">
        <f>+#REF!</f>
        <v>#REF!</v>
      </c>
      <c r="J61" s="65" t="e">
        <f>+#REF!</f>
        <v>#REF!</v>
      </c>
      <c r="K61" s="34" t="e">
        <f t="shared" ref="K61:K63" si="13">AVERAGE(G61:J61)</f>
        <v>#REF!</v>
      </c>
      <c r="L61" s="48"/>
    </row>
    <row r="62" spans="1:12" s="46" customFormat="1" ht="30" customHeight="1" x14ac:dyDescent="0.3">
      <c r="A62" s="66" t="s">
        <v>118</v>
      </c>
      <c r="B62" s="47" t="s">
        <v>6</v>
      </c>
      <c r="C62" s="48" t="str">
        <f>VLOOKUP($A62,PERTANYAAN!$A$18:$E$71,3,0)</f>
        <v>Inisiatif</v>
      </c>
      <c r="D62" s="48" t="str">
        <f>VLOOKUP($A62,PERTANYAAN!$A$18:$E$71,4,0)</f>
        <v>Jika ada hal-hal yang kiranya belum diatur oleh perusahaan atau belum dapat arahan oleh atasan, apa yang biasanya anda lakukan?</v>
      </c>
      <c r="E62" s="49">
        <f>VLOOKUP($A62,PERTANYAAN!$A$18:$E$71,5,0)</f>
        <v>0.05</v>
      </c>
      <c r="F62" s="49"/>
      <c r="G62" s="65">
        <f>+'PENILAIAN-HR'!M62</f>
        <v>3</v>
      </c>
      <c r="H62" s="65">
        <f>+'PENILAIAN-ILHAM'!M62</f>
        <v>4.0000000000000009</v>
      </c>
      <c r="I62" s="65" t="e">
        <f>+#REF!</f>
        <v>#REF!</v>
      </c>
      <c r="J62" s="65" t="e">
        <f>+#REF!</f>
        <v>#REF!</v>
      </c>
      <c r="K62" s="34" t="e">
        <f t="shared" si="13"/>
        <v>#REF!</v>
      </c>
      <c r="L62" s="48"/>
    </row>
    <row r="63" spans="1:12" s="46" customFormat="1" ht="28.8" x14ac:dyDescent="0.3">
      <c r="A63" s="66" t="s">
        <v>119</v>
      </c>
      <c r="B63" s="47" t="s">
        <v>6</v>
      </c>
      <c r="C63" s="48" t="str">
        <f>VLOOKUP($A63,PERTANYAAN!$A$18:$E$71,3,0)</f>
        <v>Adaptif</v>
      </c>
      <c r="D63" s="48" t="str">
        <f>VLOOKUP($A63,PERTANYAAN!$A$18:$E$71,4,0)</f>
        <v>Coba ceritakan pengalaman anda terkait dengan berada dalam lingkungan yang baru / hal yang baru?</v>
      </c>
      <c r="E63" s="49">
        <f>VLOOKUP($A63,PERTANYAAN!$A$18:$E$71,5,0)</f>
        <v>2.5000000000000001E-2</v>
      </c>
      <c r="F63" s="49"/>
      <c r="G63" s="65">
        <f>+'PENILAIAN-HR'!M63</f>
        <v>2.0000000000000004</v>
      </c>
      <c r="H63" s="65">
        <f>+'PENILAIAN-ILHAM'!M63</f>
        <v>2.0000000000000004</v>
      </c>
      <c r="I63" s="65" t="e">
        <f>+#REF!</f>
        <v>#REF!</v>
      </c>
      <c r="J63" s="65" t="e">
        <f>+#REF!</f>
        <v>#REF!</v>
      </c>
      <c r="K63" s="34" t="e">
        <f t="shared" si="13"/>
        <v>#REF!</v>
      </c>
      <c r="L63" s="48"/>
    </row>
    <row r="64" spans="1:12" x14ac:dyDescent="0.3">
      <c r="A64" s="1"/>
      <c r="B64" s="14"/>
      <c r="C64" s="15"/>
      <c r="D64" s="30"/>
      <c r="E64" s="17"/>
      <c r="F64" s="17"/>
      <c r="G64" s="11"/>
      <c r="H64" s="11"/>
      <c r="I64" s="11"/>
      <c r="J64" s="11"/>
      <c r="K64" s="16"/>
      <c r="L64" s="15"/>
    </row>
    <row r="65" spans="1:12" s="2" customFormat="1" x14ac:dyDescent="0.3">
      <c r="A65" s="3"/>
      <c r="B65" s="51" t="s">
        <v>99</v>
      </c>
      <c r="C65" s="52" t="s">
        <v>48</v>
      </c>
      <c r="D65" s="53"/>
      <c r="E65" s="54">
        <f>SUM(E66:E68)</f>
        <v>0.05</v>
      </c>
      <c r="F65" s="54"/>
      <c r="G65" s="57">
        <f t="shared" ref="G65:J65" si="14">SUM(G66:G68)</f>
        <v>3.8000000000000003</v>
      </c>
      <c r="H65" s="57">
        <f t="shared" si="14"/>
        <v>2.8</v>
      </c>
      <c r="I65" s="57" t="e">
        <f t="shared" si="14"/>
        <v>#REF!</v>
      </c>
      <c r="J65" s="57" t="e">
        <f t="shared" si="14"/>
        <v>#REF!</v>
      </c>
      <c r="K65" s="57" t="e">
        <f>SUM(K66:K68)</f>
        <v>#REF!</v>
      </c>
      <c r="L65" s="52"/>
    </row>
    <row r="66" spans="1:12" s="46" customFormat="1" ht="30" customHeight="1" x14ac:dyDescent="0.3">
      <c r="A66" s="66" t="s">
        <v>120</v>
      </c>
      <c r="B66" s="47" t="s">
        <v>6</v>
      </c>
      <c r="C66" s="48" t="str">
        <f>VLOOKUP($A66,PERTANYAAN!$A$18:$E$71,3,0)</f>
        <v>Ekspektasi Salary (Mengukur Budget &amp; Skill)</v>
      </c>
      <c r="D66" s="48" t="str">
        <f>VLOOKUP($A66,PERTANYAAN!$A$18:$E$71,4,0)</f>
        <v>Menurut anda, berapa ekspektasi salary/gaji yang anda inginkan? Bagaimana jika perusahaan belum memenuhinya?</v>
      </c>
      <c r="E66" s="49">
        <f>VLOOKUP($A66,PERTANYAAN!$A$18:$E$71,5,0)</f>
        <v>0.04</v>
      </c>
      <c r="F66" s="49"/>
      <c r="G66" s="65">
        <f>+'PENILAIAN-HR'!M66</f>
        <v>3.2</v>
      </c>
      <c r="H66" s="65">
        <f>+'PENILAIAN-ILHAM'!M66</f>
        <v>2.4</v>
      </c>
      <c r="I66" s="65" t="e">
        <f>+#REF!</f>
        <v>#REF!</v>
      </c>
      <c r="J66" s="65" t="e">
        <f>+#REF!</f>
        <v>#REF!</v>
      </c>
      <c r="K66" s="34" t="e">
        <f t="shared" ref="K66:K67" si="15">AVERAGE(G66:J66)</f>
        <v>#REF!</v>
      </c>
      <c r="L66" s="48"/>
    </row>
    <row r="67" spans="1:12" s="46" customFormat="1" ht="30" customHeight="1" x14ac:dyDescent="0.3">
      <c r="A67" s="66" t="s">
        <v>121</v>
      </c>
      <c r="B67" s="47" t="s">
        <v>6</v>
      </c>
      <c r="C67" s="48" t="str">
        <f>VLOOKUP($A67,PERTANYAAN!$A$18:$E$71,3,0)</f>
        <v>Tujuan Karir</v>
      </c>
      <c r="D67" s="48" t="str">
        <f>VLOOKUP($A67,PERTANYAAN!$A$18:$E$71,4,0)</f>
        <v>Sejauh yang anda tahu tentang Daniswara, apa tujuan anda berkarir/berkarya bersama Daniswara? Apa ada target posisi yang anda inginkan?</v>
      </c>
      <c r="E67" s="49">
        <f>VLOOKUP($A67,PERTANYAAN!$A$18:$E$71,5,0)</f>
        <v>0.01</v>
      </c>
      <c r="F67" s="49"/>
      <c r="G67" s="65">
        <f>+'PENILAIAN-HR'!M67</f>
        <v>0.6</v>
      </c>
      <c r="H67" s="65">
        <f>+'PENILAIAN-ILHAM'!M67</f>
        <v>0.4</v>
      </c>
      <c r="I67" s="65" t="e">
        <f>+#REF!</f>
        <v>#REF!</v>
      </c>
      <c r="J67" s="65" t="e">
        <f>+#REF!</f>
        <v>#REF!</v>
      </c>
      <c r="K67" s="34" t="e">
        <f t="shared" si="15"/>
        <v>#REF!</v>
      </c>
      <c r="L67" s="48"/>
    </row>
    <row r="68" spans="1:12" s="46" customFormat="1" x14ac:dyDescent="0.3">
      <c r="A68" s="66"/>
      <c r="B68" s="33"/>
      <c r="C68" s="48"/>
      <c r="D68" s="32"/>
      <c r="E68" s="49"/>
      <c r="F68" s="49"/>
      <c r="G68" s="33"/>
      <c r="H68" s="33"/>
      <c r="I68" s="33"/>
      <c r="J68" s="33"/>
      <c r="K68" s="34"/>
      <c r="L68" s="48"/>
    </row>
    <row r="69" spans="1:12" s="2" customFormat="1" x14ac:dyDescent="0.3">
      <c r="A69" s="3"/>
      <c r="B69" s="51" t="s">
        <v>100</v>
      </c>
      <c r="C69" s="52" t="s">
        <v>134</v>
      </c>
      <c r="D69" s="53"/>
      <c r="E69" s="54">
        <f>SUM(E70:E70)</f>
        <v>0.05</v>
      </c>
      <c r="F69" s="54"/>
      <c r="G69" s="57">
        <f t="shared" ref="G69:J69" si="16">SUM(G70)</f>
        <v>4.0000000000000009</v>
      </c>
      <c r="H69" s="57">
        <f t="shared" si="16"/>
        <v>0</v>
      </c>
      <c r="I69" s="57" t="e">
        <f t="shared" si="16"/>
        <v>#REF!</v>
      </c>
      <c r="J69" s="57" t="e">
        <f t="shared" si="16"/>
        <v>#REF!</v>
      </c>
      <c r="K69" s="57" t="e">
        <f>SUM(K70)</f>
        <v>#REF!</v>
      </c>
      <c r="L69" s="52"/>
    </row>
    <row r="70" spans="1:12" s="46" customFormat="1" ht="30" customHeight="1" x14ac:dyDescent="0.3">
      <c r="A70" s="66" t="s">
        <v>122</v>
      </c>
      <c r="B70" s="47" t="s">
        <v>6</v>
      </c>
      <c r="C70" s="48" t="str">
        <f>VLOOKUP($A70,PERTANYAAN!$A$18:$E$71,3,0)</f>
        <v>Pertanyaan Spesifik User</v>
      </c>
      <c r="D70" s="48" t="str">
        <f>VLOOKUP($A70,PERTANYAAN!$A$18:$E$71,4,0)</f>
        <v>Di karenakan ini 1 team dan berkumpul bersama 1 atap ( mess dan kantor ), bagaimana jika ada perselisihan?</v>
      </c>
      <c r="E70" s="49">
        <f>VLOOKUP($A70,PERTANYAAN!$A$18:$E$71,5,0)</f>
        <v>0.05</v>
      </c>
      <c r="F70" s="49"/>
      <c r="G70" s="65">
        <f>+'PENILAIAN-HR'!M70</f>
        <v>4.0000000000000009</v>
      </c>
      <c r="H70" s="65">
        <f>+'PENILAIAN-ILHAM'!M70</f>
        <v>0</v>
      </c>
      <c r="I70" s="65" t="e">
        <f>+#REF!</f>
        <v>#REF!</v>
      </c>
      <c r="J70" s="65" t="e">
        <f>+#REF!</f>
        <v>#REF!</v>
      </c>
      <c r="K70" s="34" t="e">
        <f t="shared" ref="K70" si="17">AVERAGE(G70:J70)</f>
        <v>#REF!</v>
      </c>
      <c r="L70" s="48"/>
    </row>
    <row r="71" spans="1:12" x14ac:dyDescent="0.3">
      <c r="B71" s="19"/>
      <c r="C71" s="20"/>
      <c r="D71" s="31"/>
      <c r="E71" s="22"/>
      <c r="F71" s="22"/>
      <c r="G71" s="23"/>
      <c r="H71" s="23"/>
      <c r="I71" s="23"/>
      <c r="J71" s="23"/>
      <c r="K71" s="21"/>
      <c r="L71" s="20"/>
    </row>
    <row r="73" spans="1:12" x14ac:dyDescent="0.3">
      <c r="G73" s="26" t="s">
        <v>61</v>
      </c>
    </row>
    <row r="74" spans="1:12" x14ac:dyDescent="0.3">
      <c r="G74" s="7" t="s">
        <v>39</v>
      </c>
      <c r="H74" s="7" t="s">
        <v>29</v>
      </c>
      <c r="I74" s="25" t="s">
        <v>69</v>
      </c>
      <c r="J74" s="25"/>
    </row>
    <row r="75" spans="1:12" x14ac:dyDescent="0.3">
      <c r="G75" s="7" t="s">
        <v>40</v>
      </c>
      <c r="H75" s="7" t="s">
        <v>29</v>
      </c>
      <c r="I75" s="25" t="s">
        <v>70</v>
      </c>
      <c r="J75" s="25"/>
    </row>
    <row r="76" spans="1:12" x14ac:dyDescent="0.3">
      <c r="G76" s="7" t="s">
        <v>41</v>
      </c>
      <c r="H76" s="7" t="s">
        <v>29</v>
      </c>
      <c r="I76" s="25" t="s">
        <v>71</v>
      </c>
      <c r="J76" s="25"/>
    </row>
    <row r="77" spans="1:12" x14ac:dyDescent="0.3">
      <c r="G77" s="7" t="s">
        <v>42</v>
      </c>
      <c r="H77" s="7" t="s">
        <v>29</v>
      </c>
      <c r="I77" s="25" t="s">
        <v>72</v>
      </c>
      <c r="J77" s="25"/>
    </row>
    <row r="78" spans="1:12" x14ac:dyDescent="0.3">
      <c r="G78" s="7" t="s">
        <v>43</v>
      </c>
      <c r="H78" s="7" t="s">
        <v>29</v>
      </c>
      <c r="I78" s="25" t="s">
        <v>73</v>
      </c>
      <c r="J78" s="25"/>
    </row>
  </sheetData>
  <mergeCells count="8">
    <mergeCell ref="K13:K14"/>
    <mergeCell ref="L13:L14"/>
    <mergeCell ref="G13:J13"/>
    <mergeCell ref="A13:A14"/>
    <mergeCell ref="B13:B14"/>
    <mergeCell ref="C13:C14"/>
    <mergeCell ref="D13:D14"/>
    <mergeCell ref="E13:E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A72C-2A6C-488A-B7D3-1979BD5CE1D8}">
  <sheetPr>
    <tabColor rgb="FF00B0F0"/>
  </sheetPr>
  <dimension ref="A1:N78"/>
  <sheetViews>
    <sheetView zoomScaleNormal="100" workbookViewId="0">
      <pane xSplit="1" ySplit="14" topLeftCell="B15" activePane="bottomRight" state="frozen"/>
      <selection activeCell="M16" sqref="M16"/>
      <selection pane="topRight" activeCell="M16" sqref="M16"/>
      <selection pane="bottomLeft" activeCell="M16" sqref="M16"/>
      <selection pane="bottomRight" activeCell="M16" sqref="M16"/>
    </sheetView>
  </sheetViews>
  <sheetFormatPr defaultColWidth="8.88671875" defaultRowHeight="14.4" outlineLevelRow="1" x14ac:dyDescent="0.3"/>
  <cols>
    <col min="1" max="1" width="17.6640625" customWidth="1"/>
    <col min="2" max="2" width="4.33203125" style="1" bestFit="1" customWidth="1"/>
    <col min="3" max="3" width="40.109375" bestFit="1" customWidth="1"/>
    <col min="4" max="4" width="9.109375" style="5"/>
    <col min="5" max="5" width="1.6640625" style="5" customWidth="1"/>
    <col min="6" max="7" width="9.109375" style="4"/>
    <col min="8" max="12" width="9.109375" style="7"/>
    <col min="13" max="13" width="9.109375" style="4"/>
    <col min="14" max="14" width="16.88671875" customWidth="1"/>
  </cols>
  <sheetData>
    <row r="1" spans="1:14" x14ac:dyDescent="0.3">
      <c r="A1" s="2" t="s">
        <v>124</v>
      </c>
    </row>
    <row r="2" spans="1:14" x14ac:dyDescent="0.3">
      <c r="A2" s="2" t="s">
        <v>0</v>
      </c>
    </row>
    <row r="5" spans="1:14" x14ac:dyDescent="0.3">
      <c r="A5" s="2" t="s">
        <v>1</v>
      </c>
      <c r="B5" s="1" t="s">
        <v>29</v>
      </c>
      <c r="C5" s="2" t="s">
        <v>30</v>
      </c>
      <c r="L5" s="26" t="s">
        <v>61</v>
      </c>
      <c r="M5" s="7"/>
      <c r="N5" s="7"/>
    </row>
    <row r="6" spans="1:14" x14ac:dyDescent="0.3">
      <c r="A6" s="2" t="s">
        <v>20</v>
      </c>
      <c r="B6" s="1" t="s">
        <v>29</v>
      </c>
      <c r="C6" t="s">
        <v>31</v>
      </c>
      <c r="L6" s="7" t="s">
        <v>39</v>
      </c>
      <c r="M6" s="7" t="s">
        <v>29</v>
      </c>
      <c r="N6" s="25" t="s">
        <v>69</v>
      </c>
    </row>
    <row r="7" spans="1:14" x14ac:dyDescent="0.3">
      <c r="A7" s="2" t="s">
        <v>32</v>
      </c>
      <c r="B7" s="1" t="s">
        <v>29</v>
      </c>
      <c r="C7" t="s">
        <v>33</v>
      </c>
      <c r="L7" s="7" t="s">
        <v>40</v>
      </c>
      <c r="M7" s="7" t="s">
        <v>29</v>
      </c>
      <c r="N7" s="25" t="s">
        <v>70</v>
      </c>
    </row>
    <row r="8" spans="1:14" x14ac:dyDescent="0.3">
      <c r="A8" s="2" t="s">
        <v>34</v>
      </c>
      <c r="B8" s="1" t="s">
        <v>29</v>
      </c>
      <c r="C8" t="s">
        <v>35</v>
      </c>
      <c r="L8" s="7" t="s">
        <v>41</v>
      </c>
      <c r="M8" s="7" t="s">
        <v>29</v>
      </c>
      <c r="N8" s="25" t="s">
        <v>71</v>
      </c>
    </row>
    <row r="9" spans="1:14" x14ac:dyDescent="0.3">
      <c r="A9" s="2" t="s">
        <v>28</v>
      </c>
      <c r="B9" s="1" t="s">
        <v>29</v>
      </c>
      <c r="C9" t="s">
        <v>83</v>
      </c>
      <c r="L9" s="7" t="s">
        <v>42</v>
      </c>
      <c r="M9" s="7" t="s">
        <v>29</v>
      </c>
      <c r="N9" s="25" t="s">
        <v>72</v>
      </c>
    </row>
    <row r="10" spans="1:14" x14ac:dyDescent="0.3">
      <c r="A10" s="2" t="s">
        <v>38</v>
      </c>
      <c r="B10" s="1" t="s">
        <v>29</v>
      </c>
      <c r="C10" s="2" t="s">
        <v>62</v>
      </c>
      <c r="D10" s="6" t="s">
        <v>90</v>
      </c>
      <c r="L10" s="7" t="s">
        <v>43</v>
      </c>
      <c r="M10" s="7" t="s">
        <v>29</v>
      </c>
      <c r="N10" s="25" t="s">
        <v>73</v>
      </c>
    </row>
    <row r="11" spans="1:14" x14ac:dyDescent="0.3">
      <c r="A11" s="2" t="s">
        <v>67</v>
      </c>
      <c r="B11" s="1" t="s">
        <v>29</v>
      </c>
      <c r="C11" s="24">
        <f>M16</f>
        <v>70.8</v>
      </c>
    </row>
    <row r="13" spans="1:14" s="2" customFormat="1" x14ac:dyDescent="0.3">
      <c r="A13" s="73" t="s">
        <v>123</v>
      </c>
      <c r="B13" s="74" t="s">
        <v>2</v>
      </c>
      <c r="C13" s="74" t="s">
        <v>3</v>
      </c>
      <c r="D13" s="76" t="s">
        <v>19</v>
      </c>
      <c r="E13" s="43"/>
      <c r="F13" s="78" t="s">
        <v>18</v>
      </c>
      <c r="G13" s="78"/>
      <c r="H13" s="74" t="s">
        <v>37</v>
      </c>
      <c r="I13" s="74"/>
      <c r="J13" s="74"/>
      <c r="K13" s="74"/>
      <c r="L13" s="74"/>
      <c r="M13" s="78" t="s">
        <v>17</v>
      </c>
      <c r="N13" s="68" t="s">
        <v>61</v>
      </c>
    </row>
    <row r="14" spans="1:14" s="2" customFormat="1" x14ac:dyDescent="0.3">
      <c r="A14" s="73"/>
      <c r="B14" s="74"/>
      <c r="C14" s="75"/>
      <c r="D14" s="77"/>
      <c r="E14" s="45"/>
      <c r="F14" s="44" t="s">
        <v>14</v>
      </c>
      <c r="G14" s="44" t="s">
        <v>15</v>
      </c>
      <c r="H14" s="42" t="s">
        <v>39</v>
      </c>
      <c r="I14" s="42" t="s">
        <v>40</v>
      </c>
      <c r="J14" s="42" t="s">
        <v>41</v>
      </c>
      <c r="K14" s="42" t="s">
        <v>42</v>
      </c>
      <c r="L14" s="42" t="s">
        <v>43</v>
      </c>
      <c r="M14" s="78"/>
      <c r="N14" s="68"/>
    </row>
    <row r="15" spans="1:14" s="2" customFormat="1" x14ac:dyDescent="0.3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3">
      <c r="A16" s="3"/>
      <c r="B16" s="40"/>
      <c r="C16" s="67" t="s">
        <v>65</v>
      </c>
      <c r="D16" s="40"/>
      <c r="E16" s="40"/>
      <c r="F16" s="64"/>
      <c r="G16" s="64"/>
      <c r="H16" s="40"/>
      <c r="I16" s="40"/>
      <c r="J16" s="40"/>
      <c r="K16" s="40"/>
      <c r="L16" s="40"/>
      <c r="M16" s="41">
        <f>M17+M21+M27+M43+M60+M65+M69</f>
        <v>70.8</v>
      </c>
      <c r="N16" s="36"/>
    </row>
    <row r="17" spans="1:14" x14ac:dyDescent="0.3">
      <c r="B17" s="51" t="s">
        <v>66</v>
      </c>
      <c r="C17" s="52" t="s">
        <v>8</v>
      </c>
      <c r="D17" s="54">
        <f>SUM(D18:D19)</f>
        <v>0.1</v>
      </c>
      <c r="E17" s="54"/>
      <c r="F17" s="57"/>
      <c r="G17" s="57"/>
      <c r="H17" s="56"/>
      <c r="I17" s="56"/>
      <c r="J17" s="56"/>
      <c r="K17" s="56"/>
      <c r="L17" s="56"/>
      <c r="M17" s="57">
        <f>SUM(M18:M20)</f>
        <v>6</v>
      </c>
      <c r="N17" s="58"/>
    </row>
    <row r="18" spans="1:14" x14ac:dyDescent="0.3">
      <c r="A18" s="66" t="s">
        <v>101</v>
      </c>
      <c r="B18" s="18">
        <v>1</v>
      </c>
      <c r="C18" s="48" t="str">
        <f>VLOOKUP($A18,PERTANYAAN!$A$18:$E$71,3,0)</f>
        <v>Pengalaman di dalam Daniswara Group</v>
      </c>
      <c r="D18" s="49">
        <f>VLOOKUP($A18,PERTANYAAN!$A$18:$E$71,5,0)</f>
        <v>0.06</v>
      </c>
      <c r="E18" s="17"/>
      <c r="F18" s="16" t="s">
        <v>16</v>
      </c>
      <c r="G18" s="16"/>
      <c r="H18" s="11"/>
      <c r="I18" s="11"/>
      <c r="J18" s="11"/>
      <c r="K18" s="11"/>
      <c r="L18" s="11"/>
      <c r="M18" s="16">
        <f>IF(F18="V",D18*100,0)</f>
        <v>6</v>
      </c>
      <c r="N18" s="15"/>
    </row>
    <row r="19" spans="1:14" x14ac:dyDescent="0.3">
      <c r="A19" s="66" t="s">
        <v>102</v>
      </c>
      <c r="B19" s="18">
        <f>B18+1</f>
        <v>2</v>
      </c>
      <c r="C19" s="48" t="str">
        <f>VLOOKUP($A19,PERTANYAAN!$A$18:$E$71,3,0)</f>
        <v>Pengalaman di luar Daniswara Group</v>
      </c>
      <c r="D19" s="49">
        <f>VLOOKUP($A19,PERTANYAAN!$A$18:$E$71,5,0)</f>
        <v>0.04</v>
      </c>
      <c r="E19" s="17"/>
      <c r="F19" s="16"/>
      <c r="G19" s="16" t="s">
        <v>16</v>
      </c>
      <c r="H19" s="11"/>
      <c r="I19" s="11"/>
      <c r="J19" s="11"/>
      <c r="K19" s="11"/>
      <c r="L19" s="11"/>
      <c r="M19" s="16">
        <f>IF(F19="V",D19*100,0)</f>
        <v>0</v>
      </c>
      <c r="N19" s="15"/>
    </row>
    <row r="20" spans="1:14" x14ac:dyDescent="0.3">
      <c r="A20" s="1"/>
      <c r="B20" s="14"/>
      <c r="C20" s="15"/>
      <c r="D20" s="17"/>
      <c r="E20" s="17"/>
      <c r="F20" s="16"/>
      <c r="G20" s="16"/>
      <c r="H20" s="11"/>
      <c r="I20" s="11"/>
      <c r="J20" s="11"/>
      <c r="K20" s="11"/>
      <c r="L20" s="11"/>
      <c r="M20" s="16"/>
      <c r="N20" s="15"/>
    </row>
    <row r="21" spans="1:14" x14ac:dyDescent="0.3">
      <c r="A21" s="1"/>
      <c r="B21" s="51" t="s">
        <v>42</v>
      </c>
      <c r="C21" s="52" t="s">
        <v>9</v>
      </c>
      <c r="D21" s="54">
        <f>SUM(D22:D25)</f>
        <v>0.05</v>
      </c>
      <c r="E21" s="54"/>
      <c r="F21" s="57"/>
      <c r="G21" s="57"/>
      <c r="H21" s="56"/>
      <c r="I21" s="56"/>
      <c r="J21" s="56"/>
      <c r="K21" s="56"/>
      <c r="L21" s="56"/>
      <c r="M21" s="57">
        <f>SUM(M22:M25)</f>
        <v>5</v>
      </c>
      <c r="N21" s="58"/>
    </row>
    <row r="22" spans="1:14" x14ac:dyDescent="0.3">
      <c r="A22" s="66" t="s">
        <v>103</v>
      </c>
      <c r="B22" s="18">
        <v>1</v>
      </c>
      <c r="C22" s="48" t="str">
        <f>VLOOKUP($A22,PERTANYAAN!$A$18:$E$71,3,0)</f>
        <v>Identitas (KTP &amp; KK)</v>
      </c>
      <c r="D22" s="49">
        <f>VLOOKUP($A22,PERTANYAAN!$A$18:$E$71,5,0)</f>
        <v>0.01</v>
      </c>
      <c r="E22" s="17"/>
      <c r="F22" s="16" t="s">
        <v>16</v>
      </c>
      <c r="G22" s="16"/>
      <c r="H22" s="11"/>
      <c r="I22" s="11"/>
      <c r="J22" s="11"/>
      <c r="K22" s="11"/>
      <c r="L22" s="11"/>
      <c r="M22" s="16">
        <f>IF(F22="V",D22*100,0)</f>
        <v>1</v>
      </c>
      <c r="N22" s="15"/>
    </row>
    <row r="23" spans="1:14" x14ac:dyDescent="0.3">
      <c r="A23" s="66" t="s">
        <v>104</v>
      </c>
      <c r="B23" s="18">
        <f>B22+1</f>
        <v>2</v>
      </c>
      <c r="C23" s="48" t="str">
        <f>VLOOKUP($A23,PERTANYAAN!$A$18:$E$71,3,0)</f>
        <v>SIM A (utk jabatan di Divisi Operasi)</v>
      </c>
      <c r="D23" s="49">
        <f>VLOOKUP($A23,PERTANYAAN!$A$18:$E$71,5,0)</f>
        <v>0.02</v>
      </c>
      <c r="E23" s="17"/>
      <c r="F23" s="16" t="s">
        <v>16</v>
      </c>
      <c r="G23" s="16"/>
      <c r="H23" s="11"/>
      <c r="I23" s="11"/>
      <c r="J23" s="11"/>
      <c r="K23" s="11"/>
      <c r="L23" s="11"/>
      <c r="M23" s="16">
        <f>IF(F23="V",D23*100,0)</f>
        <v>2</v>
      </c>
      <c r="N23" s="15"/>
    </row>
    <row r="24" spans="1:14" x14ac:dyDescent="0.3">
      <c r="A24" s="66" t="s">
        <v>105</v>
      </c>
      <c r="B24" s="18">
        <f t="shared" ref="B24:B25" si="0">B23+1</f>
        <v>3</v>
      </c>
      <c r="C24" s="48" t="str">
        <f>VLOOKUP($A24,PERTANYAAN!$A$18:$E$71,3,0)</f>
        <v>SIM C</v>
      </c>
      <c r="D24" s="49">
        <f>VLOOKUP($A24,PERTANYAAN!$A$18:$E$71,5,0)</f>
        <v>0.01</v>
      </c>
      <c r="E24" s="17"/>
      <c r="F24" s="16" t="s">
        <v>16</v>
      </c>
      <c r="G24" s="16"/>
      <c r="H24" s="11"/>
      <c r="I24" s="11"/>
      <c r="J24" s="11"/>
      <c r="K24" s="11"/>
      <c r="L24" s="11"/>
      <c r="M24" s="16">
        <f>IF(F24="V",D24*100,0)</f>
        <v>1</v>
      </c>
      <c r="N24" s="15"/>
    </row>
    <row r="25" spans="1:14" x14ac:dyDescent="0.3">
      <c r="A25" s="66" t="s">
        <v>106</v>
      </c>
      <c r="B25" s="18">
        <f t="shared" si="0"/>
        <v>4</v>
      </c>
      <c r="C25" s="48" t="str">
        <f>VLOOKUP($A25,PERTANYAAN!$A$18:$E$71,3,0)</f>
        <v>NPWP</v>
      </c>
      <c r="D25" s="49">
        <f>VLOOKUP($A25,PERTANYAAN!$A$18:$E$71,5,0)</f>
        <v>0.01</v>
      </c>
      <c r="E25" s="17"/>
      <c r="F25" s="16" t="s">
        <v>16</v>
      </c>
      <c r="G25" s="16"/>
      <c r="H25" s="11"/>
      <c r="I25" s="11"/>
      <c r="J25" s="11"/>
      <c r="K25" s="11"/>
      <c r="L25" s="11"/>
      <c r="M25" s="16">
        <f>IF(F25="V",D25*100,0)</f>
        <v>1</v>
      </c>
      <c r="N25" s="15"/>
    </row>
    <row r="26" spans="1:14" x14ac:dyDescent="0.3">
      <c r="A26" s="1"/>
      <c r="B26" s="14"/>
      <c r="C26" s="15"/>
      <c r="D26" s="17"/>
      <c r="E26" s="17"/>
      <c r="F26" s="16"/>
      <c r="G26" s="16"/>
      <c r="H26" s="11"/>
      <c r="I26" s="11"/>
      <c r="J26" s="11"/>
      <c r="K26" s="11"/>
      <c r="L26" s="11"/>
      <c r="M26" s="16"/>
      <c r="N26" s="15"/>
    </row>
    <row r="27" spans="1:14" x14ac:dyDescent="0.3">
      <c r="A27" s="1"/>
      <c r="B27" s="51" t="s">
        <v>96</v>
      </c>
      <c r="C27" s="52" t="s">
        <v>21</v>
      </c>
      <c r="D27" s="54">
        <f>D28</f>
        <v>0.35000000000000003</v>
      </c>
      <c r="E27" s="60"/>
      <c r="F27" s="63"/>
      <c r="G27" s="63"/>
      <c r="H27" s="56"/>
      <c r="I27" s="56"/>
      <c r="J27" s="56"/>
      <c r="K27" s="56"/>
      <c r="L27" s="56"/>
      <c r="M27" s="57">
        <f>M28</f>
        <v>23</v>
      </c>
      <c r="N27" s="58"/>
    </row>
    <row r="28" spans="1:14" x14ac:dyDescent="0.3">
      <c r="A28" s="66" t="s">
        <v>107</v>
      </c>
      <c r="B28" s="18">
        <v>1</v>
      </c>
      <c r="C28" s="48" t="str">
        <f>VLOOKUP($A28,PERTANYAAN!$A$18:$E$71,3,0)</f>
        <v>Operasi / Logistik</v>
      </c>
      <c r="D28" s="49">
        <f>VLOOKUP($A28,PERTANYAAN!$A$18:$E$71,5,0)</f>
        <v>0.35000000000000003</v>
      </c>
      <c r="E28" s="17"/>
      <c r="F28" s="16"/>
      <c r="G28" s="16"/>
      <c r="H28" s="11"/>
      <c r="I28" s="11"/>
      <c r="J28" s="11"/>
      <c r="K28" s="11"/>
      <c r="L28" s="11"/>
      <c r="M28" s="16">
        <f>SUM(M29:M33)</f>
        <v>23</v>
      </c>
      <c r="N28" s="15"/>
    </row>
    <row r="29" spans="1:14" x14ac:dyDescent="0.3">
      <c r="A29" s="66" t="s">
        <v>108</v>
      </c>
      <c r="B29" s="18" t="s">
        <v>6</v>
      </c>
      <c r="C29" s="48" t="str">
        <f>VLOOKUP($A29,PERTANYAAN!$A$18:$E$71,3,0)</f>
        <v>Skill Mengemudi</v>
      </c>
      <c r="D29" s="49">
        <f>VLOOKUP($A29,PERTANYAAN!$A$18:$E$71,5,0)</f>
        <v>0.15</v>
      </c>
      <c r="E29" s="17"/>
      <c r="F29" s="16"/>
      <c r="G29" s="16"/>
      <c r="H29" s="11"/>
      <c r="I29" s="11"/>
      <c r="J29" s="11"/>
      <c r="K29" s="11" t="s">
        <v>16</v>
      </c>
      <c r="L29" s="11"/>
      <c r="M29" s="16">
        <f>IF(H29="V",$D29*H$15,IF(I29="V",$D29*I$15,IF(J29="V",$D29*J$15,IF(K29="V",$D29*K$15,IF(L29="V",$D29*L$15,0)))))*100</f>
        <v>12</v>
      </c>
      <c r="N29" s="15"/>
    </row>
    <row r="30" spans="1:14" x14ac:dyDescent="0.3">
      <c r="A30" s="66" t="s">
        <v>109</v>
      </c>
      <c r="B30" s="18" t="s">
        <v>6</v>
      </c>
      <c r="C30" s="48" t="str">
        <f>VLOOKUP($A30,PERTANYAAN!$A$18:$E$71,3,0)</f>
        <v>Flow Administrasi Logistik</v>
      </c>
      <c r="D30" s="49">
        <f>VLOOKUP($A30,PERTANYAAN!$A$18:$E$71,5,0)</f>
        <v>0.1</v>
      </c>
      <c r="E30" s="17"/>
      <c r="F30" s="16"/>
      <c r="G30" s="16"/>
      <c r="H30" s="11"/>
      <c r="I30" s="11"/>
      <c r="J30" s="11" t="s">
        <v>16</v>
      </c>
      <c r="K30" s="11"/>
      <c r="L30" s="11"/>
      <c r="M30" s="16">
        <f t="shared" ref="M30:M32" si="1">IF(H30="V",$D30*H$15,IF(I30="V",$D30*I$15,IF(J30="V",$D30*J$15,IF(K30="V",$D30*K$15,IF(L30="V",$D30*L$15,0)))))*100</f>
        <v>6</v>
      </c>
      <c r="N30" s="15"/>
    </row>
    <row r="31" spans="1:14" x14ac:dyDescent="0.3">
      <c r="A31" s="66" t="s">
        <v>110</v>
      </c>
      <c r="B31" s="18" t="s">
        <v>6</v>
      </c>
      <c r="C31" s="48" t="str">
        <f>VLOOKUP($A31,PERTANYAAN!$A$18:$E$71,3,0)</f>
        <v>Pengetahuan terkait logistik</v>
      </c>
      <c r="D31" s="49">
        <f>VLOOKUP($A31,PERTANYAAN!$A$18:$E$71,5,0)</f>
        <v>2.5000000000000001E-2</v>
      </c>
      <c r="E31" s="17"/>
      <c r="F31" s="16"/>
      <c r="G31" s="16"/>
      <c r="H31" s="11"/>
      <c r="I31" s="11"/>
      <c r="J31" s="11"/>
      <c r="K31" s="11" t="s">
        <v>16</v>
      </c>
      <c r="L31" s="11"/>
      <c r="M31" s="16">
        <f t="shared" si="1"/>
        <v>2.0000000000000004</v>
      </c>
      <c r="N31" s="15"/>
    </row>
    <row r="32" spans="1:14" x14ac:dyDescent="0.3">
      <c r="A32" s="66" t="s">
        <v>111</v>
      </c>
      <c r="B32" s="18" t="s">
        <v>6</v>
      </c>
      <c r="C32" s="48" t="str">
        <f>VLOOKUP($A32,PERTANYAAN!$A$18:$E$71,3,0)</f>
        <v>Pengalaman di Bongkar Muat</v>
      </c>
      <c r="D32" s="49">
        <f>VLOOKUP($A32,PERTANYAAN!$A$18:$E$71,5,0)</f>
        <v>7.4999999999999997E-2</v>
      </c>
      <c r="E32" s="17"/>
      <c r="F32" s="16"/>
      <c r="G32" s="16"/>
      <c r="H32" s="11"/>
      <c r="I32" s="11" t="s">
        <v>16</v>
      </c>
      <c r="J32" s="11"/>
      <c r="K32" s="11"/>
      <c r="L32" s="11"/>
      <c r="M32" s="16">
        <f t="shared" si="1"/>
        <v>3</v>
      </c>
      <c r="N32" s="15"/>
    </row>
    <row r="33" spans="1:14" x14ac:dyDescent="0.3">
      <c r="A33" s="1"/>
      <c r="B33" s="18"/>
      <c r="C33" s="15"/>
      <c r="D33" s="17"/>
      <c r="E33" s="17"/>
      <c r="F33" s="16"/>
      <c r="G33" s="16"/>
      <c r="H33" s="11"/>
      <c r="I33" s="11"/>
      <c r="J33" s="11"/>
      <c r="K33" s="11"/>
      <c r="L33" s="11"/>
      <c r="M33" s="16"/>
      <c r="N33" s="15"/>
    </row>
    <row r="34" spans="1:14" hidden="1" outlineLevel="1" x14ac:dyDescent="0.3">
      <c r="A34" s="1"/>
      <c r="B34" s="18">
        <f>B28+1</f>
        <v>2</v>
      </c>
      <c r="C34" s="15" t="s">
        <v>22</v>
      </c>
      <c r="D34" s="17">
        <f>SUM(D35:D37)</f>
        <v>0.35</v>
      </c>
      <c r="E34" s="17"/>
      <c r="F34" s="16"/>
      <c r="G34" s="16"/>
      <c r="H34" s="11"/>
      <c r="I34" s="11"/>
      <c r="J34" s="11"/>
      <c r="K34" s="11"/>
      <c r="L34" s="11"/>
      <c r="M34" s="16"/>
      <c r="N34" s="15"/>
    </row>
    <row r="35" spans="1:14" hidden="1" outlineLevel="1" x14ac:dyDescent="0.3">
      <c r="A35" s="1"/>
      <c r="B35" s="18" t="s">
        <v>6</v>
      </c>
      <c r="C35" s="15" t="s">
        <v>44</v>
      </c>
      <c r="D35" s="17">
        <v>0.15</v>
      </c>
      <c r="E35" s="17"/>
      <c r="F35" s="16"/>
      <c r="G35" s="16"/>
      <c r="H35" s="11"/>
      <c r="I35" s="11"/>
      <c r="J35" s="11"/>
      <c r="K35" s="11"/>
      <c r="L35" s="11"/>
      <c r="M35" s="16"/>
      <c r="N35" s="15"/>
    </row>
    <row r="36" spans="1:14" hidden="1" outlineLevel="1" x14ac:dyDescent="0.3">
      <c r="A36" s="1"/>
      <c r="B36" s="18" t="s">
        <v>6</v>
      </c>
      <c r="C36" s="15" t="s">
        <v>50</v>
      </c>
      <c r="D36" s="17">
        <v>0.2</v>
      </c>
      <c r="E36" s="17"/>
      <c r="F36" s="16"/>
      <c r="G36" s="16"/>
      <c r="H36" s="11"/>
      <c r="I36" s="11"/>
      <c r="J36" s="11"/>
      <c r="K36" s="11"/>
      <c r="L36" s="11"/>
      <c r="M36" s="16"/>
      <c r="N36" s="15"/>
    </row>
    <row r="37" spans="1:14" hidden="1" outlineLevel="1" x14ac:dyDescent="0.3">
      <c r="A37" s="1"/>
      <c r="B37" s="18"/>
      <c r="C37" s="15"/>
      <c r="D37" s="17"/>
      <c r="E37" s="17"/>
      <c r="F37" s="16"/>
      <c r="G37" s="16"/>
      <c r="H37" s="11"/>
      <c r="I37" s="11"/>
      <c r="J37" s="11"/>
      <c r="K37" s="11"/>
      <c r="L37" s="11"/>
      <c r="M37" s="16"/>
      <c r="N37" s="15"/>
    </row>
    <row r="38" spans="1:14" hidden="1" outlineLevel="1" x14ac:dyDescent="0.3">
      <c r="A38" s="1"/>
      <c r="B38" s="14">
        <v>3</v>
      </c>
      <c r="C38" s="15" t="s">
        <v>23</v>
      </c>
      <c r="D38" s="17"/>
      <c r="E38" s="17"/>
      <c r="F38" s="16"/>
      <c r="G38" s="16"/>
      <c r="H38" s="11"/>
      <c r="I38" s="11"/>
      <c r="J38" s="11"/>
      <c r="K38" s="11"/>
      <c r="L38" s="11"/>
      <c r="M38" s="16"/>
      <c r="N38" s="15"/>
    </row>
    <row r="39" spans="1:14" hidden="1" outlineLevel="1" x14ac:dyDescent="0.3">
      <c r="A39" s="1"/>
      <c r="B39" s="18" t="s">
        <v>6</v>
      </c>
      <c r="C39" s="15" t="s">
        <v>52</v>
      </c>
      <c r="D39" s="17"/>
      <c r="E39" s="17"/>
      <c r="F39" s="16"/>
      <c r="G39" s="16"/>
      <c r="H39" s="11"/>
      <c r="I39" s="11"/>
      <c r="J39" s="11"/>
      <c r="K39" s="11"/>
      <c r="L39" s="11"/>
      <c r="M39" s="16"/>
      <c r="N39" s="15"/>
    </row>
    <row r="40" spans="1:14" hidden="1" outlineLevel="1" x14ac:dyDescent="0.3">
      <c r="A40" s="1"/>
      <c r="B40" s="18" t="s">
        <v>6</v>
      </c>
      <c r="C40" s="15" t="s">
        <v>53</v>
      </c>
      <c r="D40" s="17"/>
      <c r="E40" s="17"/>
      <c r="F40" s="16"/>
      <c r="G40" s="16"/>
      <c r="H40" s="11"/>
      <c r="I40" s="11"/>
      <c r="J40" s="11"/>
      <c r="K40" s="11"/>
      <c r="L40" s="11"/>
      <c r="M40" s="16"/>
      <c r="N40" s="15"/>
    </row>
    <row r="41" spans="1:14" hidden="1" outlineLevel="1" x14ac:dyDescent="0.3">
      <c r="A41" s="1"/>
      <c r="B41" s="18" t="s">
        <v>6</v>
      </c>
      <c r="C41" s="15"/>
      <c r="D41" s="17"/>
      <c r="E41" s="17"/>
      <c r="F41" s="16"/>
      <c r="G41" s="16"/>
      <c r="H41" s="11"/>
      <c r="I41" s="11"/>
      <c r="J41" s="11"/>
      <c r="K41" s="11"/>
      <c r="L41" s="11"/>
      <c r="M41" s="16"/>
      <c r="N41" s="15"/>
    </row>
    <row r="42" spans="1:14" hidden="1" outlineLevel="1" x14ac:dyDescent="0.3">
      <c r="A42" s="1"/>
      <c r="B42" s="14"/>
      <c r="C42" s="15"/>
      <c r="D42" s="17"/>
      <c r="E42" s="17"/>
      <c r="F42" s="16"/>
      <c r="G42" s="16"/>
      <c r="H42" s="11"/>
      <c r="I42" s="11"/>
      <c r="J42" s="11"/>
      <c r="K42" s="11"/>
      <c r="L42" s="11"/>
      <c r="M42" s="16"/>
      <c r="N42" s="15"/>
    </row>
    <row r="43" spans="1:14" s="2" customFormat="1" collapsed="1" x14ac:dyDescent="0.3">
      <c r="A43" s="3"/>
      <c r="B43" s="51" t="s">
        <v>97</v>
      </c>
      <c r="C43" s="52" t="s">
        <v>24</v>
      </c>
      <c r="D43" s="54">
        <f>D44</f>
        <v>0.25</v>
      </c>
      <c r="E43" s="54"/>
      <c r="F43" s="57"/>
      <c r="G43" s="57"/>
      <c r="H43" s="62"/>
      <c r="I43" s="62"/>
      <c r="J43" s="62"/>
      <c r="K43" s="62"/>
      <c r="L43" s="62"/>
      <c r="M43" s="57">
        <f>M44</f>
        <v>18</v>
      </c>
      <c r="N43" s="52"/>
    </row>
    <row r="44" spans="1:14" x14ac:dyDescent="0.3">
      <c r="A44" s="1" t="s">
        <v>112</v>
      </c>
      <c r="B44" s="14">
        <v>1</v>
      </c>
      <c r="C44" s="48" t="str">
        <f>VLOOKUP($A44,PERTANYAAN!$A$18:$E$71,3,0)</f>
        <v>Staff</v>
      </c>
      <c r="D44" s="49">
        <f>VLOOKUP($A44,PERTANYAAN!$A$18:$E$71,5,0)</f>
        <v>0.25</v>
      </c>
      <c r="E44" s="17"/>
      <c r="F44" s="16"/>
      <c r="G44" s="16"/>
      <c r="H44" s="11"/>
      <c r="I44" s="11"/>
      <c r="J44" s="11"/>
      <c r="K44" s="11"/>
      <c r="L44" s="11"/>
      <c r="M44" s="16">
        <f>SUM(M45:M48)</f>
        <v>18</v>
      </c>
      <c r="N44" s="15"/>
    </row>
    <row r="45" spans="1:14" x14ac:dyDescent="0.3">
      <c r="A45" s="66" t="s">
        <v>113</v>
      </c>
      <c r="B45" s="18" t="s">
        <v>6</v>
      </c>
      <c r="C45" s="48" t="str">
        <f>VLOOKUP($A45,PERTANYAAN!$A$18:$E$71,3,0)</f>
        <v>Kepemimpinan</v>
      </c>
      <c r="D45" s="49">
        <f>VLOOKUP($A45,PERTANYAAN!$A$18:$E$71,5,0)</f>
        <v>2.5000000000000001E-2</v>
      </c>
      <c r="E45" s="17"/>
      <c r="F45" s="16"/>
      <c r="G45" s="16"/>
      <c r="H45" s="11"/>
      <c r="I45" s="11" t="s">
        <v>16</v>
      </c>
      <c r="J45" s="11"/>
      <c r="K45" s="11"/>
      <c r="L45" s="11"/>
      <c r="M45" s="16">
        <f>IF(H45="V",$D45*H$15,IF(I45="V",$D45*I$15,IF(J45="V",$D45*J$15,IF(K45="V",$D45*K$15,IF(L45="V",$D45*L$15,0)))))*100</f>
        <v>1.0000000000000002</v>
      </c>
      <c r="N45" s="15"/>
    </row>
    <row r="46" spans="1:14" x14ac:dyDescent="0.3">
      <c r="A46" s="66" t="s">
        <v>114</v>
      </c>
      <c r="B46" s="18" t="s">
        <v>6</v>
      </c>
      <c r="C46" s="48" t="str">
        <f>VLOOKUP($A46,PERTANYAAN!$A$18:$E$71,3,0)</f>
        <v>Komunikasi</v>
      </c>
      <c r="D46" s="49">
        <f>VLOOKUP($A46,PERTANYAAN!$A$18:$E$71,5,0)</f>
        <v>0.1</v>
      </c>
      <c r="E46" s="17"/>
      <c r="F46" s="16"/>
      <c r="G46" s="16"/>
      <c r="H46" s="11"/>
      <c r="I46" s="11"/>
      <c r="J46" s="11" t="s">
        <v>16</v>
      </c>
      <c r="K46" s="11"/>
      <c r="L46" s="11"/>
      <c r="M46" s="16">
        <f>IF(H46="V",$D46*H$15,IF(I46="V",$D46*I$15,IF(J46="V",$D46*J$15,IF(K46="V",$D46*K$15,IF(L46="V",$D46*L$15,0)))))*100</f>
        <v>6</v>
      </c>
      <c r="N46" s="15"/>
    </row>
    <row r="47" spans="1:14" x14ac:dyDescent="0.3">
      <c r="A47" s="66" t="s">
        <v>115</v>
      </c>
      <c r="B47" s="18" t="s">
        <v>6</v>
      </c>
      <c r="C47" s="48" t="str">
        <f>VLOOKUP($A47,PERTANYAAN!$A$18:$E$71,3,0)</f>
        <v>Patuh pada Peraturan / Commitment</v>
      </c>
      <c r="D47" s="49">
        <f>VLOOKUP($A47,PERTANYAAN!$A$18:$E$71,5,0)</f>
        <v>0.05</v>
      </c>
      <c r="E47" s="17"/>
      <c r="F47" s="16"/>
      <c r="G47" s="16"/>
      <c r="H47" s="11"/>
      <c r="I47" s="11"/>
      <c r="J47" s="11"/>
      <c r="K47" s="11"/>
      <c r="L47" s="11" t="s">
        <v>16</v>
      </c>
      <c r="M47" s="16">
        <f>IF(H47="V",$D47*H$15,IF(I47="V",$D47*I$15,IF(J47="V",$D47*J$15,IF(K47="V",$D47*K$15,IF(L47="V",$D47*L$15,0)))))*100</f>
        <v>5</v>
      </c>
      <c r="N47" s="15"/>
    </row>
    <row r="48" spans="1:14" x14ac:dyDescent="0.3">
      <c r="A48" s="66" t="s">
        <v>116</v>
      </c>
      <c r="B48" s="18" t="s">
        <v>6</v>
      </c>
      <c r="C48" s="48" t="str">
        <f>VLOOKUP($A48,PERTANYAAN!$A$18:$E$71,3,0)</f>
        <v>Determinasi thd tekanan</v>
      </c>
      <c r="D48" s="49">
        <f>VLOOKUP($A48,PERTANYAAN!$A$18:$E$71,5,0)</f>
        <v>7.4999999999999997E-2</v>
      </c>
      <c r="E48" s="17"/>
      <c r="F48" s="16"/>
      <c r="G48" s="16"/>
      <c r="H48" s="11"/>
      <c r="I48" s="11"/>
      <c r="J48" s="11"/>
      <c r="K48" s="11" t="s">
        <v>16</v>
      </c>
      <c r="L48" s="11"/>
      <c r="M48" s="16">
        <f>IF(H48="V",$D48*H$15,IF(I48="V",$D48*I$15,IF(J48="V",$D48*J$15,IF(K48="V",$D48*K$15,IF(L48="V",$D48*L$15,0)))))*100</f>
        <v>6</v>
      </c>
      <c r="N48" s="15"/>
    </row>
    <row r="49" spans="1:14" x14ac:dyDescent="0.3">
      <c r="A49" s="1"/>
      <c r="B49" s="18"/>
      <c r="C49" s="15"/>
      <c r="D49" s="17"/>
      <c r="E49" s="17"/>
      <c r="F49" s="16"/>
      <c r="G49" s="16"/>
      <c r="H49" s="11"/>
      <c r="I49" s="11"/>
      <c r="J49" s="11"/>
      <c r="K49" s="11"/>
      <c r="L49" s="11"/>
      <c r="M49" s="16"/>
      <c r="N49" s="15"/>
    </row>
    <row r="50" spans="1:14" hidden="1" outlineLevel="1" x14ac:dyDescent="0.3">
      <c r="A50" s="1"/>
      <c r="B50" s="14">
        <v>2</v>
      </c>
      <c r="C50" s="15" t="s">
        <v>26</v>
      </c>
      <c r="D50" s="17"/>
      <c r="E50" s="17"/>
      <c r="F50" s="16"/>
      <c r="G50" s="16"/>
      <c r="H50" s="11"/>
      <c r="I50" s="11"/>
      <c r="J50" s="11"/>
      <c r="K50" s="11"/>
      <c r="L50" s="11"/>
      <c r="M50" s="16"/>
      <c r="N50" s="15"/>
    </row>
    <row r="51" spans="1:14" hidden="1" outlineLevel="1" x14ac:dyDescent="0.3">
      <c r="A51" s="1"/>
      <c r="B51" s="18" t="s">
        <v>6</v>
      </c>
      <c r="C51" s="15" t="s">
        <v>54</v>
      </c>
      <c r="D51" s="17"/>
      <c r="E51" s="17"/>
      <c r="F51" s="16"/>
      <c r="G51" s="16"/>
      <c r="H51" s="11"/>
      <c r="I51" s="11"/>
      <c r="J51" s="11"/>
      <c r="K51" s="11"/>
      <c r="L51" s="11"/>
      <c r="M51" s="16"/>
      <c r="N51" s="15"/>
    </row>
    <row r="52" spans="1:14" hidden="1" outlineLevel="1" x14ac:dyDescent="0.3">
      <c r="A52" s="1"/>
      <c r="B52" s="18" t="s">
        <v>6</v>
      </c>
      <c r="C52" s="15" t="s">
        <v>55</v>
      </c>
      <c r="D52" s="17"/>
      <c r="E52" s="17"/>
      <c r="F52" s="16"/>
      <c r="G52" s="16"/>
      <c r="H52" s="11"/>
      <c r="I52" s="11"/>
      <c r="J52" s="11"/>
      <c r="K52" s="11"/>
      <c r="L52" s="11"/>
      <c r="M52" s="16"/>
      <c r="N52" s="15"/>
    </row>
    <row r="53" spans="1:14" hidden="1" outlineLevel="1" x14ac:dyDescent="0.3">
      <c r="A53" s="1"/>
      <c r="B53" s="18" t="s">
        <v>6</v>
      </c>
      <c r="C53" s="15" t="s">
        <v>56</v>
      </c>
      <c r="D53" s="17"/>
      <c r="E53" s="17"/>
      <c r="F53" s="16"/>
      <c r="G53" s="16"/>
      <c r="H53" s="11"/>
      <c r="I53" s="11"/>
      <c r="J53" s="11"/>
      <c r="K53" s="11"/>
      <c r="L53" s="11"/>
      <c r="M53" s="16"/>
      <c r="N53" s="15"/>
    </row>
    <row r="54" spans="1:14" hidden="1" outlineLevel="1" x14ac:dyDescent="0.3">
      <c r="A54" s="1"/>
      <c r="B54" s="18"/>
      <c r="C54" s="15"/>
      <c r="D54" s="17"/>
      <c r="E54" s="17"/>
      <c r="F54" s="16"/>
      <c r="G54" s="16"/>
      <c r="H54" s="11"/>
      <c r="I54" s="11"/>
      <c r="J54" s="11"/>
      <c r="K54" s="11"/>
      <c r="L54" s="11"/>
      <c r="M54" s="16"/>
      <c r="N54" s="15"/>
    </row>
    <row r="55" spans="1:14" hidden="1" outlineLevel="1" x14ac:dyDescent="0.3">
      <c r="A55" s="1"/>
      <c r="B55" s="14">
        <v>3</v>
      </c>
      <c r="C55" s="15" t="s">
        <v>27</v>
      </c>
      <c r="D55" s="17"/>
      <c r="E55" s="17"/>
      <c r="F55" s="16"/>
      <c r="G55" s="16"/>
      <c r="H55" s="11"/>
      <c r="I55" s="11"/>
      <c r="J55" s="11"/>
      <c r="K55" s="11"/>
      <c r="L55" s="11"/>
      <c r="M55" s="16"/>
      <c r="N55" s="15"/>
    </row>
    <row r="56" spans="1:14" hidden="1" outlineLevel="1" x14ac:dyDescent="0.3">
      <c r="A56" s="1"/>
      <c r="B56" s="18" t="s">
        <v>6</v>
      </c>
      <c r="C56" s="15" t="s">
        <v>54</v>
      </c>
      <c r="D56" s="17"/>
      <c r="E56" s="17"/>
      <c r="F56" s="16"/>
      <c r="G56" s="16"/>
      <c r="H56" s="11"/>
      <c r="I56" s="11"/>
      <c r="J56" s="11"/>
      <c r="K56" s="11"/>
      <c r="L56" s="11"/>
      <c r="M56" s="16"/>
      <c r="N56" s="15"/>
    </row>
    <row r="57" spans="1:14" hidden="1" outlineLevel="1" x14ac:dyDescent="0.3">
      <c r="A57" s="1"/>
      <c r="B57" s="18" t="s">
        <v>6</v>
      </c>
      <c r="C57" s="15" t="s">
        <v>56</v>
      </c>
      <c r="D57" s="17"/>
      <c r="E57" s="17"/>
      <c r="F57" s="16"/>
      <c r="G57" s="16"/>
      <c r="H57" s="11"/>
      <c r="I57" s="11"/>
      <c r="J57" s="11"/>
      <c r="K57" s="11"/>
      <c r="L57" s="11"/>
      <c r="M57" s="16"/>
      <c r="N57" s="15"/>
    </row>
    <row r="58" spans="1:14" hidden="1" outlineLevel="1" x14ac:dyDescent="0.3">
      <c r="A58" s="1"/>
      <c r="B58" s="18" t="s">
        <v>6</v>
      </c>
      <c r="C58" s="15" t="s">
        <v>57</v>
      </c>
      <c r="D58" s="17"/>
      <c r="E58" s="17"/>
      <c r="F58" s="16"/>
      <c r="G58" s="16"/>
      <c r="H58" s="11"/>
      <c r="I58" s="11"/>
      <c r="J58" s="11"/>
      <c r="K58" s="11"/>
      <c r="L58" s="11"/>
      <c r="M58" s="16"/>
      <c r="N58" s="15"/>
    </row>
    <row r="59" spans="1:14" hidden="1" outlineLevel="1" x14ac:dyDescent="0.3">
      <c r="A59" s="1"/>
      <c r="B59" s="14"/>
      <c r="C59" s="15"/>
      <c r="D59" s="17"/>
      <c r="E59" s="17"/>
      <c r="F59" s="16"/>
      <c r="G59" s="16"/>
      <c r="H59" s="11"/>
      <c r="I59" s="11"/>
      <c r="J59" s="11"/>
      <c r="K59" s="11"/>
      <c r="L59" s="11"/>
      <c r="M59" s="16"/>
      <c r="N59" s="15"/>
    </row>
    <row r="60" spans="1:14" s="2" customFormat="1" collapsed="1" x14ac:dyDescent="0.3">
      <c r="A60" s="3"/>
      <c r="B60" s="51" t="s">
        <v>98</v>
      </c>
      <c r="C60" s="52" t="s">
        <v>46</v>
      </c>
      <c r="D60" s="54">
        <f>SUM(D61:D64)</f>
        <v>0.15</v>
      </c>
      <c r="E60" s="54"/>
      <c r="F60" s="57"/>
      <c r="G60" s="57"/>
      <c r="H60" s="62"/>
      <c r="I60" s="62"/>
      <c r="J60" s="62"/>
      <c r="K60" s="62"/>
      <c r="L60" s="62"/>
      <c r="M60" s="57">
        <f>SUM(M61:M64)</f>
        <v>11</v>
      </c>
      <c r="N60" s="52"/>
    </row>
    <row r="61" spans="1:14" x14ac:dyDescent="0.3">
      <c r="A61" s="66" t="s">
        <v>117</v>
      </c>
      <c r="B61" s="18" t="s">
        <v>6</v>
      </c>
      <c r="C61" s="48" t="str">
        <f>VLOOKUP($A61,PERTANYAAN!$A$18:$E$71,3,0)</f>
        <v>Antusiasme / Keinginan bergabung</v>
      </c>
      <c r="D61" s="49">
        <f>VLOOKUP($A61,PERTANYAAN!$A$18:$E$71,5,0)</f>
        <v>7.4999999999999997E-2</v>
      </c>
      <c r="E61" s="17"/>
      <c r="F61" s="16"/>
      <c r="G61" s="16"/>
      <c r="H61" s="11"/>
      <c r="I61" s="11"/>
      <c r="J61" s="11"/>
      <c r="K61" s="11" t="s">
        <v>16</v>
      </c>
      <c r="L61" s="11"/>
      <c r="M61" s="16">
        <f t="shared" ref="M61:M63" si="2">IF(H61="V",$D61*H$15,IF(I61="V",$D61*I$15,IF(J61="V",$D61*J$15,IF(K61="V",$D61*K$15,IF(L61="V",$D61*L$15,0)))))*100</f>
        <v>6</v>
      </c>
      <c r="N61" s="15"/>
    </row>
    <row r="62" spans="1:14" x14ac:dyDescent="0.3">
      <c r="A62" s="66" t="s">
        <v>118</v>
      </c>
      <c r="B62" s="18" t="s">
        <v>6</v>
      </c>
      <c r="C62" s="48" t="str">
        <f>VLOOKUP($A62,PERTANYAAN!$A$18:$E$71,3,0)</f>
        <v>Inisiatif</v>
      </c>
      <c r="D62" s="49">
        <f>VLOOKUP($A62,PERTANYAAN!$A$18:$E$71,5,0)</f>
        <v>0.05</v>
      </c>
      <c r="E62" s="17"/>
      <c r="F62" s="16"/>
      <c r="G62" s="16"/>
      <c r="H62" s="11"/>
      <c r="I62" s="11"/>
      <c r="J62" s="11" t="s">
        <v>16</v>
      </c>
      <c r="K62" s="11"/>
      <c r="L62" s="11"/>
      <c r="M62" s="16">
        <f t="shared" si="2"/>
        <v>3</v>
      </c>
      <c r="N62" s="15"/>
    </row>
    <row r="63" spans="1:14" x14ac:dyDescent="0.3">
      <c r="A63" s="66" t="s">
        <v>119</v>
      </c>
      <c r="B63" s="18" t="s">
        <v>6</v>
      </c>
      <c r="C63" s="48" t="str">
        <f>VLOOKUP($A63,PERTANYAAN!$A$18:$E$71,3,0)</f>
        <v>Adaptif</v>
      </c>
      <c r="D63" s="49">
        <f>VLOOKUP($A63,PERTANYAAN!$A$18:$E$71,5,0)</f>
        <v>2.5000000000000001E-2</v>
      </c>
      <c r="E63" s="17"/>
      <c r="F63" s="16"/>
      <c r="G63" s="16"/>
      <c r="H63" s="11"/>
      <c r="I63" s="11"/>
      <c r="J63" s="11"/>
      <c r="K63" s="11" t="s">
        <v>16</v>
      </c>
      <c r="L63" s="11"/>
      <c r="M63" s="16">
        <f t="shared" si="2"/>
        <v>2.0000000000000004</v>
      </c>
      <c r="N63" s="15"/>
    </row>
    <row r="64" spans="1:14" x14ac:dyDescent="0.3">
      <c r="A64" s="1"/>
      <c r="B64" s="14"/>
      <c r="C64" s="15"/>
      <c r="D64" s="17"/>
      <c r="E64" s="17"/>
      <c r="F64" s="16"/>
      <c r="G64" s="16"/>
      <c r="H64" s="11"/>
      <c r="I64" s="11"/>
      <c r="J64" s="11"/>
      <c r="K64" s="11"/>
      <c r="L64" s="11"/>
      <c r="M64" s="16"/>
      <c r="N64" s="15"/>
    </row>
    <row r="65" spans="1:14" s="2" customFormat="1" x14ac:dyDescent="0.3">
      <c r="A65" s="3"/>
      <c r="B65" s="51" t="s">
        <v>99</v>
      </c>
      <c r="C65" s="52" t="s">
        <v>48</v>
      </c>
      <c r="D65" s="54">
        <f>SUM(D66:D68)</f>
        <v>0.05</v>
      </c>
      <c r="E65" s="54"/>
      <c r="F65" s="57"/>
      <c r="G65" s="57"/>
      <c r="H65" s="62"/>
      <c r="I65" s="62"/>
      <c r="J65" s="62"/>
      <c r="K65" s="62"/>
      <c r="L65" s="62"/>
      <c r="M65" s="57">
        <f>SUM(M66:M68)</f>
        <v>3.8000000000000003</v>
      </c>
      <c r="N65" s="52"/>
    </row>
    <row r="66" spans="1:14" x14ac:dyDescent="0.3">
      <c r="A66" s="66" t="s">
        <v>120</v>
      </c>
      <c r="B66" s="18" t="s">
        <v>6</v>
      </c>
      <c r="C66" s="48" t="str">
        <f>VLOOKUP($A66,PERTANYAAN!$A$18:$E$71,3,0)</f>
        <v>Ekspektasi Salary (Mengukur Budget &amp; Skill)</v>
      </c>
      <c r="D66" s="49">
        <f>VLOOKUP($A66,PERTANYAAN!$A$18:$E$71,5,0)</f>
        <v>0.04</v>
      </c>
      <c r="E66" s="17"/>
      <c r="F66" s="16"/>
      <c r="G66" s="16"/>
      <c r="H66" s="11"/>
      <c r="I66" s="11"/>
      <c r="J66" s="11"/>
      <c r="K66" s="11" t="s">
        <v>16</v>
      </c>
      <c r="L66" s="11"/>
      <c r="M66" s="16">
        <f t="shared" ref="M66:M67" si="3">IF(H66="V",$D66*H$15,IF(I66="V",$D66*I$15,IF(J66="V",$D66*J$15,IF(K66="V",$D66*K$15,IF(L66="V",$D66*L$15,0)))))*100</f>
        <v>3.2</v>
      </c>
      <c r="N66" s="15"/>
    </row>
    <row r="67" spans="1:14" x14ac:dyDescent="0.3">
      <c r="A67" s="66" t="s">
        <v>121</v>
      </c>
      <c r="B67" s="18" t="s">
        <v>6</v>
      </c>
      <c r="C67" s="48" t="str">
        <f>VLOOKUP($A67,PERTANYAAN!$A$18:$E$71,3,0)</f>
        <v>Tujuan Karir</v>
      </c>
      <c r="D67" s="49">
        <f>VLOOKUP($A67,PERTANYAAN!$A$18:$E$71,5,0)</f>
        <v>0.01</v>
      </c>
      <c r="E67" s="17"/>
      <c r="F67" s="16"/>
      <c r="G67" s="16"/>
      <c r="H67" s="11"/>
      <c r="I67" s="11"/>
      <c r="J67" s="11" t="s">
        <v>16</v>
      </c>
      <c r="K67" s="11"/>
      <c r="L67" s="11"/>
      <c r="M67" s="16">
        <f t="shared" si="3"/>
        <v>0.6</v>
      </c>
      <c r="N67" s="15"/>
    </row>
    <row r="68" spans="1:14" x14ac:dyDescent="0.3">
      <c r="A68" s="66"/>
      <c r="B68" s="14"/>
      <c r="C68" s="15"/>
      <c r="D68" s="17"/>
      <c r="E68" s="17"/>
      <c r="F68" s="16"/>
      <c r="G68" s="16"/>
      <c r="H68" s="11"/>
      <c r="I68" s="11"/>
      <c r="J68" s="11"/>
      <c r="K68" s="11"/>
      <c r="L68" s="11"/>
      <c r="M68" s="16"/>
      <c r="N68" s="15"/>
    </row>
    <row r="69" spans="1:14" s="2" customFormat="1" x14ac:dyDescent="0.3">
      <c r="A69" s="3"/>
      <c r="B69" s="51" t="s">
        <v>100</v>
      </c>
      <c r="C69" s="52" t="s">
        <v>134</v>
      </c>
      <c r="D69" s="54">
        <f>SUM(D70:D70)</f>
        <v>0.05</v>
      </c>
      <c r="E69" s="54"/>
      <c r="F69" s="57"/>
      <c r="G69" s="57"/>
      <c r="H69" s="62"/>
      <c r="I69" s="62"/>
      <c r="J69" s="62"/>
      <c r="K69" s="62"/>
      <c r="L69" s="62"/>
      <c r="M69" s="57">
        <f>SUM(M70)</f>
        <v>4.0000000000000009</v>
      </c>
      <c r="N69" s="52"/>
    </row>
    <row r="70" spans="1:14" x14ac:dyDescent="0.3">
      <c r="A70" s="66" t="s">
        <v>122</v>
      </c>
      <c r="B70" s="18" t="s">
        <v>6</v>
      </c>
      <c r="C70" s="48" t="str">
        <f>VLOOKUP($A70,PERTANYAAN!$A$18:$E$71,3,0)</f>
        <v>Pertanyaan Spesifik User</v>
      </c>
      <c r="D70" s="49">
        <f>VLOOKUP($A70,PERTANYAAN!$A$18:$E$71,5,0)</f>
        <v>0.05</v>
      </c>
      <c r="E70" s="17"/>
      <c r="F70" s="16"/>
      <c r="G70" s="16"/>
      <c r="H70" s="11"/>
      <c r="I70" s="11"/>
      <c r="J70" s="11"/>
      <c r="K70" s="11" t="s">
        <v>16</v>
      </c>
      <c r="L70" s="11"/>
      <c r="M70" s="16">
        <f t="shared" ref="M70" si="4">IF(H70="V",$D70*H$15,IF(I70="V",$D70*I$15,IF(J70="V",$D70*J$15,IF(K70="V",$D70*K$15,IF(L70="V",$D70*L$15,0)))))*100</f>
        <v>4.0000000000000009</v>
      </c>
      <c r="N70" s="15"/>
    </row>
    <row r="71" spans="1:14" x14ac:dyDescent="0.3">
      <c r="B71" s="19"/>
      <c r="C71" s="20"/>
      <c r="D71" s="22"/>
      <c r="E71" s="22"/>
      <c r="F71" s="21"/>
      <c r="G71" s="21"/>
      <c r="H71" s="23"/>
      <c r="I71" s="23"/>
      <c r="J71" s="23"/>
      <c r="K71" s="23"/>
      <c r="L71" s="23"/>
      <c r="M71" s="21"/>
      <c r="N71" s="20"/>
    </row>
    <row r="73" spans="1:14" x14ac:dyDescent="0.3">
      <c r="H73" s="26" t="s">
        <v>61</v>
      </c>
    </row>
    <row r="74" spans="1:14" x14ac:dyDescent="0.3">
      <c r="H74" s="7" t="s">
        <v>39</v>
      </c>
      <c r="I74" s="7" t="s">
        <v>29</v>
      </c>
      <c r="J74" s="25" t="s">
        <v>69</v>
      </c>
    </row>
    <row r="75" spans="1:14" x14ac:dyDescent="0.3">
      <c r="H75" s="7" t="s">
        <v>40</v>
      </c>
      <c r="I75" s="7" t="s">
        <v>29</v>
      </c>
      <c r="J75" s="25" t="s">
        <v>70</v>
      </c>
    </row>
    <row r="76" spans="1:14" x14ac:dyDescent="0.3">
      <c r="H76" s="7" t="s">
        <v>41</v>
      </c>
      <c r="I76" s="7" t="s">
        <v>29</v>
      </c>
      <c r="J76" s="25" t="s">
        <v>71</v>
      </c>
    </row>
    <row r="77" spans="1:14" x14ac:dyDescent="0.3">
      <c r="H77" s="7" t="s">
        <v>42</v>
      </c>
      <c r="I77" s="7" t="s">
        <v>29</v>
      </c>
      <c r="J77" s="25" t="s">
        <v>72</v>
      </c>
    </row>
    <row r="78" spans="1:14" x14ac:dyDescent="0.3">
      <c r="H78" s="7" t="s">
        <v>43</v>
      </c>
      <c r="I78" s="7" t="s">
        <v>29</v>
      </c>
      <c r="J78" s="25" t="s">
        <v>73</v>
      </c>
    </row>
  </sheetData>
  <mergeCells count="8">
    <mergeCell ref="H13:L13"/>
    <mergeCell ref="M13:M14"/>
    <mergeCell ref="N13:N14"/>
    <mergeCell ref="A13:A14"/>
    <mergeCell ref="F13:G13"/>
    <mergeCell ref="B13:B14"/>
    <mergeCell ref="C13:C14"/>
    <mergeCell ref="D13:D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F01EB-E635-4E27-B278-03AC648114E9}">
  <sheetPr>
    <tabColor rgb="FF92D050"/>
  </sheetPr>
  <dimension ref="A1:N96"/>
  <sheetViews>
    <sheetView zoomScaleNormal="100" workbookViewId="0">
      <pane xSplit="1" ySplit="14" topLeftCell="B72" activePane="bottomRight" state="frozen"/>
      <selection activeCell="M16" sqref="M16"/>
      <selection pane="topRight" activeCell="M16" sqref="M16"/>
      <selection pane="bottomLeft" activeCell="M16" sqref="M16"/>
      <selection pane="bottomRight" activeCell="C76" sqref="C76:C77"/>
    </sheetView>
  </sheetViews>
  <sheetFormatPr defaultColWidth="8.88671875" defaultRowHeight="14.4" outlineLevelRow="1" x14ac:dyDescent="0.3"/>
  <cols>
    <col min="1" max="1" width="17.6640625" customWidth="1"/>
    <col min="2" max="2" width="4.33203125" style="1" bestFit="1" customWidth="1"/>
    <col min="3" max="3" width="40.109375" bestFit="1" customWidth="1"/>
    <col min="4" max="4" width="9.109375" style="5"/>
    <col min="5" max="5" width="1.6640625" style="5" customWidth="1"/>
    <col min="6" max="7" width="9.109375" style="4"/>
    <col min="8" max="12" width="9.109375" style="7"/>
    <col min="13" max="13" width="9.109375" style="4"/>
    <col min="14" max="14" width="52.5546875" bestFit="1" customWidth="1"/>
  </cols>
  <sheetData>
    <row r="1" spans="1:14" x14ac:dyDescent="0.3">
      <c r="A1" s="2" t="s">
        <v>124</v>
      </c>
    </row>
    <row r="2" spans="1:14" x14ac:dyDescent="0.3">
      <c r="A2" s="2" t="s">
        <v>0</v>
      </c>
    </row>
    <row r="5" spans="1:14" x14ac:dyDescent="0.3">
      <c r="A5" s="2" t="s">
        <v>1</v>
      </c>
      <c r="B5" s="1" t="s">
        <v>29</v>
      </c>
      <c r="C5" s="2" t="s">
        <v>146</v>
      </c>
    </row>
    <row r="6" spans="1:14" x14ac:dyDescent="0.3">
      <c r="A6" s="2" t="s">
        <v>20</v>
      </c>
      <c r="B6" s="1" t="s">
        <v>29</v>
      </c>
      <c r="C6" t="s">
        <v>31</v>
      </c>
    </row>
    <row r="7" spans="1:14" x14ac:dyDescent="0.3">
      <c r="A7" s="2" t="s">
        <v>32</v>
      </c>
      <c r="B7" s="1" t="s">
        <v>29</v>
      </c>
      <c r="C7" t="s">
        <v>152</v>
      </c>
    </row>
    <row r="8" spans="1:14" x14ac:dyDescent="0.3">
      <c r="A8" s="2" t="s">
        <v>34</v>
      </c>
      <c r="B8" s="1" t="s">
        <v>29</v>
      </c>
      <c r="C8" t="s">
        <v>35</v>
      </c>
    </row>
    <row r="9" spans="1:14" x14ac:dyDescent="0.3">
      <c r="A9" s="2" t="s">
        <v>28</v>
      </c>
      <c r="B9" s="1" t="s">
        <v>29</v>
      </c>
      <c r="C9" s="84">
        <v>5000000</v>
      </c>
    </row>
    <row r="10" spans="1:14" x14ac:dyDescent="0.3">
      <c r="A10" s="2" t="s">
        <v>38</v>
      </c>
      <c r="B10" s="1" t="s">
        <v>29</v>
      </c>
      <c r="C10" s="2" t="s">
        <v>153</v>
      </c>
      <c r="D10" s="6" t="s">
        <v>91</v>
      </c>
    </row>
    <row r="11" spans="1:14" x14ac:dyDescent="0.3">
      <c r="A11" s="2" t="s">
        <v>67</v>
      </c>
      <c r="B11" s="1" t="s">
        <v>29</v>
      </c>
      <c r="C11" s="24">
        <f>M16</f>
        <v>58.8</v>
      </c>
    </row>
    <row r="13" spans="1:14" s="2" customFormat="1" x14ac:dyDescent="0.3">
      <c r="A13" s="73" t="s">
        <v>123</v>
      </c>
      <c r="B13" s="74" t="s">
        <v>2</v>
      </c>
      <c r="C13" s="74" t="s">
        <v>3</v>
      </c>
      <c r="D13" s="76" t="s">
        <v>19</v>
      </c>
      <c r="E13" s="43"/>
      <c r="F13" s="78" t="s">
        <v>18</v>
      </c>
      <c r="G13" s="78"/>
      <c r="H13" s="74" t="s">
        <v>37</v>
      </c>
      <c r="I13" s="74"/>
      <c r="J13" s="74"/>
      <c r="K13" s="74"/>
      <c r="L13" s="74"/>
      <c r="M13" s="78" t="s">
        <v>17</v>
      </c>
      <c r="N13" s="68" t="s">
        <v>61</v>
      </c>
    </row>
    <row r="14" spans="1:14" s="2" customFormat="1" x14ac:dyDescent="0.3">
      <c r="A14" s="73"/>
      <c r="B14" s="74"/>
      <c r="C14" s="75"/>
      <c r="D14" s="77"/>
      <c r="E14" s="45"/>
      <c r="F14" s="44" t="s">
        <v>14</v>
      </c>
      <c r="G14" s="44" t="s">
        <v>15</v>
      </c>
      <c r="H14" s="42" t="s">
        <v>39</v>
      </c>
      <c r="I14" s="42" t="s">
        <v>40</v>
      </c>
      <c r="J14" s="42" t="s">
        <v>41</v>
      </c>
      <c r="K14" s="42" t="s">
        <v>42</v>
      </c>
      <c r="L14" s="42" t="s">
        <v>43</v>
      </c>
      <c r="M14" s="78"/>
      <c r="N14" s="68"/>
    </row>
    <row r="15" spans="1:14" s="2" customFormat="1" x14ac:dyDescent="0.3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3">
      <c r="A16" s="3"/>
      <c r="B16" s="40"/>
      <c r="C16" s="67" t="s">
        <v>65</v>
      </c>
      <c r="D16" s="40"/>
      <c r="E16" s="40"/>
      <c r="F16" s="64"/>
      <c r="G16" s="64"/>
      <c r="H16" s="40"/>
      <c r="I16" s="40"/>
      <c r="J16" s="40"/>
      <c r="K16" s="40"/>
      <c r="L16" s="40"/>
      <c r="M16" s="41">
        <f>M17+M21+M27+M43+M60+M65+M69</f>
        <v>58.8</v>
      </c>
      <c r="N16" s="36"/>
    </row>
    <row r="17" spans="1:14" x14ac:dyDescent="0.3">
      <c r="B17" s="51" t="s">
        <v>66</v>
      </c>
      <c r="C17" s="52" t="s">
        <v>8</v>
      </c>
      <c r="D17" s="54">
        <f>SUM(D18:D19)</f>
        <v>0.1</v>
      </c>
      <c r="E17" s="54"/>
      <c r="F17" s="57"/>
      <c r="G17" s="57"/>
      <c r="H17" s="56"/>
      <c r="I17" s="56"/>
      <c r="J17" s="56"/>
      <c r="K17" s="56"/>
      <c r="L17" s="56"/>
      <c r="M17" s="57">
        <f>SUM(M18:M20)</f>
        <v>4</v>
      </c>
      <c r="N17" s="58"/>
    </row>
    <row r="18" spans="1:14" x14ac:dyDescent="0.3">
      <c r="A18" s="66" t="s">
        <v>101</v>
      </c>
      <c r="B18" s="18">
        <v>1</v>
      </c>
      <c r="C18" s="48" t="str">
        <f>VLOOKUP($A18,PERTANYAAN!$A$18:$E$71,3,0)</f>
        <v>Pengalaman di dalam Daniswara Group</v>
      </c>
      <c r="D18" s="49">
        <f>VLOOKUP($A18,PERTANYAAN!$A$18:$E$71,5,0)</f>
        <v>0.06</v>
      </c>
      <c r="E18" s="17"/>
      <c r="F18" s="16"/>
      <c r="G18" s="16" t="s">
        <v>16</v>
      </c>
      <c r="H18" s="11"/>
      <c r="I18" s="11"/>
      <c r="J18" s="11"/>
      <c r="K18" s="11"/>
      <c r="L18" s="11"/>
      <c r="M18" s="16">
        <f>IF(F18="V",D18*100,0)</f>
        <v>0</v>
      </c>
      <c r="N18" s="15"/>
    </row>
    <row r="19" spans="1:14" x14ac:dyDescent="0.3">
      <c r="A19" s="66" t="s">
        <v>102</v>
      </c>
      <c r="B19" s="18">
        <f>B18+1</f>
        <v>2</v>
      </c>
      <c r="C19" s="48" t="str">
        <f>VLOOKUP($A19,PERTANYAAN!$A$18:$E$71,3,0)</f>
        <v>Pengalaman di luar Daniswara Group</v>
      </c>
      <c r="D19" s="49">
        <f>VLOOKUP($A19,PERTANYAAN!$A$18:$E$71,5,0)</f>
        <v>0.04</v>
      </c>
      <c r="E19" s="17"/>
      <c r="F19" s="16" t="s">
        <v>16</v>
      </c>
      <c r="G19" s="16"/>
      <c r="H19" s="11"/>
      <c r="I19" s="11"/>
      <c r="J19" s="11"/>
      <c r="K19" s="11"/>
      <c r="L19" s="11"/>
      <c r="M19" s="16">
        <f>IF(F19="V",D19*100,0)</f>
        <v>4</v>
      </c>
      <c r="N19" s="15"/>
    </row>
    <row r="20" spans="1:14" x14ac:dyDescent="0.3">
      <c r="A20" s="1"/>
      <c r="B20" s="14"/>
      <c r="C20" s="15"/>
      <c r="D20" s="17"/>
      <c r="E20" s="17"/>
      <c r="F20" s="16"/>
      <c r="G20" s="16"/>
      <c r="H20" s="11"/>
      <c r="I20" s="11"/>
      <c r="J20" s="11"/>
      <c r="K20" s="11"/>
      <c r="L20" s="11"/>
      <c r="M20" s="16"/>
      <c r="N20" s="15"/>
    </row>
    <row r="21" spans="1:14" x14ac:dyDescent="0.3">
      <c r="A21" s="1"/>
      <c r="B21" s="51" t="s">
        <v>42</v>
      </c>
      <c r="C21" s="52" t="s">
        <v>9</v>
      </c>
      <c r="D21" s="54">
        <f>SUM(D22:D25)</f>
        <v>0.05</v>
      </c>
      <c r="E21" s="54"/>
      <c r="F21" s="57"/>
      <c r="G21" s="57"/>
      <c r="H21" s="56"/>
      <c r="I21" s="56"/>
      <c r="J21" s="56"/>
      <c r="K21" s="56"/>
      <c r="L21" s="56"/>
      <c r="M21" s="57">
        <f>SUM(M22:M25)</f>
        <v>2</v>
      </c>
      <c r="N21" s="58"/>
    </row>
    <row r="22" spans="1:14" x14ac:dyDescent="0.3">
      <c r="A22" s="66" t="s">
        <v>103</v>
      </c>
      <c r="B22" s="18">
        <v>1</v>
      </c>
      <c r="C22" s="48" t="str">
        <f>VLOOKUP($A22,PERTANYAAN!$A$18:$E$71,3,0)</f>
        <v>Identitas (KTP &amp; KK)</v>
      </c>
      <c r="D22" s="49">
        <f>VLOOKUP($A22,PERTANYAAN!$A$18:$E$71,5,0)</f>
        <v>0.01</v>
      </c>
      <c r="E22" s="17"/>
      <c r="F22" s="16" t="s">
        <v>16</v>
      </c>
      <c r="G22" s="16"/>
      <c r="H22" s="11"/>
      <c r="I22" s="11"/>
      <c r="J22" s="11"/>
      <c r="K22" s="11"/>
      <c r="L22" s="11"/>
      <c r="M22" s="16">
        <f>IF(F22="V",D22*100,0)</f>
        <v>1</v>
      </c>
      <c r="N22" s="15"/>
    </row>
    <row r="23" spans="1:14" x14ac:dyDescent="0.3">
      <c r="A23" s="66" t="s">
        <v>104</v>
      </c>
      <c r="B23" s="18">
        <f>B22+1</f>
        <v>2</v>
      </c>
      <c r="C23" s="48" t="str">
        <f>VLOOKUP($A23,PERTANYAAN!$A$18:$E$71,3,0)</f>
        <v>SIM A (utk jabatan di Divisi Operasi)</v>
      </c>
      <c r="D23" s="49">
        <f>VLOOKUP($A23,PERTANYAAN!$A$18:$E$71,5,0)</f>
        <v>0.02</v>
      </c>
      <c r="E23" s="17"/>
      <c r="F23" s="16"/>
      <c r="G23" s="16" t="s">
        <v>16</v>
      </c>
      <c r="H23" s="11"/>
      <c r="I23" s="11"/>
      <c r="J23" s="11"/>
      <c r="K23" s="11"/>
      <c r="L23" s="11"/>
      <c r="M23" s="16">
        <f>IF(F23="V",D23*100,0)</f>
        <v>0</v>
      </c>
      <c r="N23" s="15"/>
    </row>
    <row r="24" spans="1:14" x14ac:dyDescent="0.3">
      <c r="A24" s="66" t="s">
        <v>105</v>
      </c>
      <c r="B24" s="18">
        <f t="shared" ref="B24:B25" si="0">B23+1</f>
        <v>3</v>
      </c>
      <c r="C24" s="48" t="str">
        <f>VLOOKUP($A24,PERTANYAAN!$A$18:$E$71,3,0)</f>
        <v>SIM C</v>
      </c>
      <c r="D24" s="49">
        <f>VLOOKUP($A24,PERTANYAAN!$A$18:$E$71,5,0)</f>
        <v>0.01</v>
      </c>
      <c r="E24" s="17"/>
      <c r="F24" s="16" t="s">
        <v>16</v>
      </c>
      <c r="G24" s="16"/>
      <c r="H24" s="11"/>
      <c r="I24" s="11"/>
      <c r="J24" s="11"/>
      <c r="K24" s="11"/>
      <c r="L24" s="11"/>
      <c r="M24" s="16">
        <f>IF(F24="V",D24*100,0)</f>
        <v>1</v>
      </c>
      <c r="N24" s="15"/>
    </row>
    <row r="25" spans="1:14" x14ac:dyDescent="0.3">
      <c r="A25" s="66" t="s">
        <v>106</v>
      </c>
      <c r="B25" s="18">
        <f t="shared" si="0"/>
        <v>4</v>
      </c>
      <c r="C25" s="48" t="str">
        <f>VLOOKUP($A25,PERTANYAAN!$A$18:$E$71,3,0)</f>
        <v>NPWP</v>
      </c>
      <c r="D25" s="49">
        <f>VLOOKUP($A25,PERTANYAAN!$A$18:$E$71,5,0)</f>
        <v>0.01</v>
      </c>
      <c r="E25" s="17"/>
      <c r="F25" s="16"/>
      <c r="G25" s="16" t="s">
        <v>16</v>
      </c>
      <c r="H25" s="11"/>
      <c r="I25" s="11"/>
      <c r="J25" s="11"/>
      <c r="K25" s="11"/>
      <c r="L25" s="11"/>
      <c r="M25" s="16">
        <f>IF(F25="V",D25*100,0)</f>
        <v>0</v>
      </c>
      <c r="N25" s="15"/>
    </row>
    <row r="26" spans="1:14" x14ac:dyDescent="0.3">
      <c r="A26" s="1"/>
      <c r="B26" s="14"/>
      <c r="C26" s="15"/>
      <c r="D26" s="17"/>
      <c r="E26" s="17"/>
      <c r="F26" s="16"/>
      <c r="G26" s="16"/>
      <c r="H26" s="11"/>
      <c r="I26" s="11"/>
      <c r="J26" s="11"/>
      <c r="K26" s="11"/>
      <c r="L26" s="11"/>
      <c r="M26" s="16"/>
      <c r="N26" s="15"/>
    </row>
    <row r="27" spans="1:14" x14ac:dyDescent="0.3">
      <c r="A27" s="1"/>
      <c r="B27" s="51" t="s">
        <v>96</v>
      </c>
      <c r="C27" s="52" t="s">
        <v>21</v>
      </c>
      <c r="D27" s="54">
        <f>D28</f>
        <v>0.35000000000000003</v>
      </c>
      <c r="E27" s="60"/>
      <c r="F27" s="63"/>
      <c r="G27" s="63"/>
      <c r="H27" s="56"/>
      <c r="I27" s="56"/>
      <c r="J27" s="56"/>
      <c r="K27" s="56"/>
      <c r="L27" s="56"/>
      <c r="M27" s="57">
        <f>M28</f>
        <v>17.5</v>
      </c>
      <c r="N27" s="58"/>
    </row>
    <row r="28" spans="1:14" x14ac:dyDescent="0.3">
      <c r="A28" s="66" t="s">
        <v>107</v>
      </c>
      <c r="B28" s="18">
        <v>1</v>
      </c>
      <c r="C28" s="48" t="str">
        <f>VLOOKUP($A28,PERTANYAAN!$A$18:$E$71,3,0)</f>
        <v>Operasi / Logistik</v>
      </c>
      <c r="D28" s="49">
        <f>VLOOKUP($A28,PERTANYAAN!$A$18:$E$71,5,0)</f>
        <v>0.35000000000000003</v>
      </c>
      <c r="E28" s="17"/>
      <c r="F28" s="16"/>
      <c r="G28" s="16"/>
      <c r="H28" s="11"/>
      <c r="I28" s="11"/>
      <c r="J28" s="11"/>
      <c r="K28" s="11"/>
      <c r="L28" s="11"/>
      <c r="M28" s="16">
        <f>SUM(M29:M33)</f>
        <v>17.5</v>
      </c>
      <c r="N28" s="15"/>
    </row>
    <row r="29" spans="1:14" x14ac:dyDescent="0.3">
      <c r="A29" s="66" t="s">
        <v>108</v>
      </c>
      <c r="B29" s="18" t="s">
        <v>6</v>
      </c>
      <c r="C29" s="48" t="str">
        <f>VLOOKUP($A29,PERTANYAAN!$A$18:$E$71,3,0)</f>
        <v>Skill Mengemudi</v>
      </c>
      <c r="D29" s="49">
        <f>VLOOKUP($A29,PERTANYAAN!$A$18:$E$71,5,0)</f>
        <v>0.15</v>
      </c>
      <c r="E29" s="17"/>
      <c r="F29" s="16"/>
      <c r="G29" s="16"/>
      <c r="H29" s="11" t="s">
        <v>16</v>
      </c>
      <c r="I29" s="11"/>
      <c r="J29" s="11"/>
      <c r="K29" s="11"/>
      <c r="L29" s="11"/>
      <c r="M29" s="16">
        <f>IF(H29="V",$D29*H$15,IF(I29="V",$D29*I$15,IF(J29="V",$D29*J$15,IF(K29="V",$D29*K$15,IF(L29="V",$D29*L$15,0)))))*100</f>
        <v>3</v>
      </c>
      <c r="N29" s="15" t="s">
        <v>149</v>
      </c>
    </row>
    <row r="30" spans="1:14" x14ac:dyDescent="0.3">
      <c r="A30" s="66" t="s">
        <v>109</v>
      </c>
      <c r="B30" s="18" t="s">
        <v>6</v>
      </c>
      <c r="C30" s="48" t="str">
        <f>VLOOKUP($A30,PERTANYAAN!$A$18:$E$71,3,0)</f>
        <v>Flow Administrasi Logistik</v>
      </c>
      <c r="D30" s="49">
        <f>VLOOKUP($A30,PERTANYAAN!$A$18:$E$71,5,0)</f>
        <v>0.1</v>
      </c>
      <c r="E30" s="17"/>
      <c r="F30" s="16"/>
      <c r="G30" s="16"/>
      <c r="H30" s="11"/>
      <c r="I30" s="11"/>
      <c r="J30" s="11"/>
      <c r="K30" s="11" t="s">
        <v>16</v>
      </c>
      <c r="L30" s="11"/>
      <c r="M30" s="16">
        <f t="shared" ref="M30:M32" si="1">IF(H30="V",$D30*H$15,IF(I30="V",$D30*I$15,IF(J30="V",$D30*J$15,IF(K30="V",$D30*K$15,IF(L30="V",$D30*L$15,0)))))*100</f>
        <v>8.0000000000000018</v>
      </c>
      <c r="N30" s="15" t="s">
        <v>150</v>
      </c>
    </row>
    <row r="31" spans="1:14" x14ac:dyDescent="0.3">
      <c r="A31" s="66" t="s">
        <v>110</v>
      </c>
      <c r="B31" s="18" t="s">
        <v>6</v>
      </c>
      <c r="C31" s="48" t="str">
        <f>VLOOKUP($A31,PERTANYAAN!$A$18:$E$71,3,0)</f>
        <v>Pengetahuan terkait logistik</v>
      </c>
      <c r="D31" s="49">
        <f>VLOOKUP($A31,PERTANYAAN!$A$18:$E$71,5,0)</f>
        <v>2.5000000000000001E-2</v>
      </c>
      <c r="E31" s="17"/>
      <c r="F31" s="16"/>
      <c r="G31" s="16"/>
      <c r="H31" s="11"/>
      <c r="I31" s="11"/>
      <c r="J31" s="11"/>
      <c r="K31" s="11" t="s">
        <v>16</v>
      </c>
      <c r="L31" s="11"/>
      <c r="M31" s="16">
        <f t="shared" si="1"/>
        <v>2.0000000000000004</v>
      </c>
      <c r="N31" s="15"/>
    </row>
    <row r="32" spans="1:14" x14ac:dyDescent="0.3">
      <c r="A32" s="66" t="s">
        <v>111</v>
      </c>
      <c r="B32" s="18" t="s">
        <v>6</v>
      </c>
      <c r="C32" s="48" t="str">
        <f>VLOOKUP($A32,PERTANYAAN!$A$18:$E$71,3,0)</f>
        <v>Pengalaman di Bongkar Muat</v>
      </c>
      <c r="D32" s="49">
        <f>VLOOKUP($A32,PERTANYAAN!$A$18:$E$71,5,0)</f>
        <v>7.4999999999999997E-2</v>
      </c>
      <c r="E32" s="17"/>
      <c r="F32" s="16"/>
      <c r="G32" s="16"/>
      <c r="H32" s="11"/>
      <c r="I32" s="11"/>
      <c r="J32" s="11" t="s">
        <v>16</v>
      </c>
      <c r="K32" s="11"/>
      <c r="L32" s="11"/>
      <c r="M32" s="16">
        <f t="shared" si="1"/>
        <v>4.5</v>
      </c>
      <c r="N32" s="15" t="s">
        <v>151</v>
      </c>
    </row>
    <row r="33" spans="1:14" x14ac:dyDescent="0.3">
      <c r="A33" s="1"/>
      <c r="B33" s="18"/>
      <c r="C33" s="15"/>
      <c r="D33" s="17"/>
      <c r="E33" s="17"/>
      <c r="F33" s="16"/>
      <c r="G33" s="16"/>
      <c r="H33" s="11"/>
      <c r="I33" s="11"/>
      <c r="J33" s="11"/>
      <c r="K33" s="11"/>
      <c r="L33" s="11"/>
      <c r="M33" s="16"/>
      <c r="N33" s="15"/>
    </row>
    <row r="34" spans="1:14" hidden="1" outlineLevel="1" x14ac:dyDescent="0.3">
      <c r="A34" s="1"/>
      <c r="B34" s="18">
        <f>B28+1</f>
        <v>2</v>
      </c>
      <c r="C34" s="15" t="s">
        <v>22</v>
      </c>
      <c r="D34" s="17">
        <f>SUM(D35:D37)</f>
        <v>0.35</v>
      </c>
      <c r="E34" s="17"/>
      <c r="F34" s="16"/>
      <c r="G34" s="16"/>
      <c r="H34" s="11"/>
      <c r="I34" s="11"/>
      <c r="J34" s="11"/>
      <c r="K34" s="11"/>
      <c r="L34" s="11"/>
      <c r="M34" s="16"/>
      <c r="N34" s="15"/>
    </row>
    <row r="35" spans="1:14" hidden="1" outlineLevel="1" x14ac:dyDescent="0.3">
      <c r="A35" s="1"/>
      <c r="B35" s="18" t="s">
        <v>6</v>
      </c>
      <c r="C35" s="15" t="s">
        <v>44</v>
      </c>
      <c r="D35" s="17">
        <v>0.15</v>
      </c>
      <c r="E35" s="17"/>
      <c r="F35" s="16"/>
      <c r="G35" s="16"/>
      <c r="H35" s="11"/>
      <c r="I35" s="11"/>
      <c r="J35" s="11"/>
      <c r="K35" s="11"/>
      <c r="L35" s="11"/>
      <c r="M35" s="16"/>
      <c r="N35" s="15"/>
    </row>
    <row r="36" spans="1:14" hidden="1" outlineLevel="1" x14ac:dyDescent="0.3">
      <c r="A36" s="1"/>
      <c r="B36" s="18" t="s">
        <v>6</v>
      </c>
      <c r="C36" s="15" t="s">
        <v>50</v>
      </c>
      <c r="D36" s="17">
        <v>0.2</v>
      </c>
      <c r="E36" s="17"/>
      <c r="F36" s="16"/>
      <c r="G36" s="16"/>
      <c r="H36" s="11"/>
      <c r="I36" s="11"/>
      <c r="J36" s="11"/>
      <c r="K36" s="11"/>
      <c r="L36" s="11"/>
      <c r="M36" s="16"/>
      <c r="N36" s="15"/>
    </row>
    <row r="37" spans="1:14" hidden="1" outlineLevel="1" x14ac:dyDescent="0.3">
      <c r="A37" s="1"/>
      <c r="B37" s="18"/>
      <c r="C37" s="15"/>
      <c r="D37" s="17"/>
      <c r="E37" s="17"/>
      <c r="F37" s="16"/>
      <c r="G37" s="16"/>
      <c r="H37" s="11"/>
      <c r="I37" s="11"/>
      <c r="J37" s="11"/>
      <c r="K37" s="11"/>
      <c r="L37" s="11"/>
      <c r="M37" s="16"/>
      <c r="N37" s="15"/>
    </row>
    <row r="38" spans="1:14" hidden="1" outlineLevel="1" x14ac:dyDescent="0.3">
      <c r="A38" s="1"/>
      <c r="B38" s="14">
        <v>3</v>
      </c>
      <c r="C38" s="15" t="s">
        <v>23</v>
      </c>
      <c r="D38" s="17"/>
      <c r="E38" s="17"/>
      <c r="F38" s="16"/>
      <c r="G38" s="16"/>
      <c r="H38" s="11"/>
      <c r="I38" s="11"/>
      <c r="J38" s="11"/>
      <c r="K38" s="11"/>
      <c r="L38" s="11"/>
      <c r="M38" s="16"/>
      <c r="N38" s="15"/>
    </row>
    <row r="39" spans="1:14" hidden="1" outlineLevel="1" x14ac:dyDescent="0.3">
      <c r="A39" s="1"/>
      <c r="B39" s="18" t="s">
        <v>6</v>
      </c>
      <c r="C39" s="15" t="s">
        <v>52</v>
      </c>
      <c r="D39" s="17"/>
      <c r="E39" s="17"/>
      <c r="F39" s="16"/>
      <c r="G39" s="16"/>
      <c r="H39" s="11"/>
      <c r="I39" s="11"/>
      <c r="J39" s="11"/>
      <c r="K39" s="11"/>
      <c r="L39" s="11"/>
      <c r="M39" s="16"/>
      <c r="N39" s="15"/>
    </row>
    <row r="40" spans="1:14" hidden="1" outlineLevel="1" x14ac:dyDescent="0.3">
      <c r="A40" s="1"/>
      <c r="B40" s="18" t="s">
        <v>6</v>
      </c>
      <c r="C40" s="15" t="s">
        <v>53</v>
      </c>
      <c r="D40" s="17"/>
      <c r="E40" s="17"/>
      <c r="F40" s="16"/>
      <c r="G40" s="16"/>
      <c r="H40" s="11"/>
      <c r="I40" s="11"/>
      <c r="J40" s="11"/>
      <c r="K40" s="11"/>
      <c r="L40" s="11"/>
      <c r="M40" s="16"/>
      <c r="N40" s="15"/>
    </row>
    <row r="41" spans="1:14" hidden="1" outlineLevel="1" x14ac:dyDescent="0.3">
      <c r="A41" s="1"/>
      <c r="B41" s="18" t="s">
        <v>6</v>
      </c>
      <c r="C41" s="15"/>
      <c r="D41" s="17"/>
      <c r="E41" s="17"/>
      <c r="F41" s="16"/>
      <c r="G41" s="16"/>
      <c r="H41" s="11"/>
      <c r="I41" s="11"/>
      <c r="J41" s="11"/>
      <c r="K41" s="11"/>
      <c r="L41" s="11"/>
      <c r="M41" s="16"/>
      <c r="N41" s="15"/>
    </row>
    <row r="42" spans="1:14" hidden="1" outlineLevel="1" x14ac:dyDescent="0.3">
      <c r="A42" s="1"/>
      <c r="B42" s="14"/>
      <c r="C42" s="15"/>
      <c r="D42" s="17"/>
      <c r="E42" s="17"/>
      <c r="F42" s="16"/>
      <c r="G42" s="16"/>
      <c r="H42" s="11"/>
      <c r="I42" s="11"/>
      <c r="J42" s="11"/>
      <c r="K42" s="11"/>
      <c r="L42" s="11"/>
      <c r="M42" s="16"/>
      <c r="N42" s="15"/>
    </row>
    <row r="43" spans="1:14" s="2" customFormat="1" collapsed="1" x14ac:dyDescent="0.3">
      <c r="A43" s="3"/>
      <c r="B43" s="51" t="s">
        <v>97</v>
      </c>
      <c r="C43" s="52" t="s">
        <v>24</v>
      </c>
      <c r="D43" s="54">
        <f>D44</f>
        <v>0.25</v>
      </c>
      <c r="E43" s="54"/>
      <c r="F43" s="57"/>
      <c r="G43" s="57"/>
      <c r="H43" s="62"/>
      <c r="I43" s="62"/>
      <c r="J43" s="62"/>
      <c r="K43" s="62"/>
      <c r="L43" s="62"/>
      <c r="M43" s="57">
        <f>M44</f>
        <v>20.5</v>
      </c>
      <c r="N43" s="52"/>
    </row>
    <row r="44" spans="1:14" x14ac:dyDescent="0.3">
      <c r="A44" s="1" t="s">
        <v>112</v>
      </c>
      <c r="B44" s="14">
        <v>1</v>
      </c>
      <c r="C44" s="48" t="str">
        <f>VLOOKUP($A44,PERTANYAAN!$A$18:$E$71,3,0)</f>
        <v>Staff</v>
      </c>
      <c r="D44" s="49">
        <f>VLOOKUP($A44,PERTANYAAN!$A$18:$E$71,5,0)</f>
        <v>0.25</v>
      </c>
      <c r="E44" s="17"/>
      <c r="F44" s="16"/>
      <c r="G44" s="16"/>
      <c r="H44" s="11"/>
      <c r="I44" s="11"/>
      <c r="J44" s="11"/>
      <c r="K44" s="11"/>
      <c r="L44" s="11"/>
      <c r="M44" s="16">
        <f>SUM(M45:M48)</f>
        <v>20.5</v>
      </c>
      <c r="N44" s="15"/>
    </row>
    <row r="45" spans="1:14" x14ac:dyDescent="0.3">
      <c r="A45" s="66" t="s">
        <v>113</v>
      </c>
      <c r="B45" s="18" t="s">
        <v>6</v>
      </c>
      <c r="C45" s="48" t="str">
        <f>VLOOKUP($A45,PERTANYAAN!$A$18:$E$71,3,0)</f>
        <v>Kepemimpinan</v>
      </c>
      <c r="D45" s="49">
        <f>VLOOKUP($A45,PERTANYAAN!$A$18:$E$71,5,0)</f>
        <v>2.5000000000000001E-2</v>
      </c>
      <c r="E45" s="17"/>
      <c r="F45" s="16"/>
      <c r="G45" s="16"/>
      <c r="H45" s="11"/>
      <c r="I45" s="11"/>
      <c r="J45" s="11"/>
      <c r="K45" s="11" t="s">
        <v>16</v>
      </c>
      <c r="L45" s="11"/>
      <c r="M45" s="16">
        <f>IF(H45="V",$D45*H$15,IF(I45="V",$D45*I$15,IF(J45="V",$D45*J$15,IF(K45="V",$D45*K$15,IF(L45="V",$D45*L$15,0)))))*100</f>
        <v>2.0000000000000004</v>
      </c>
      <c r="N45" s="15" t="s">
        <v>155</v>
      </c>
    </row>
    <row r="46" spans="1:14" x14ac:dyDescent="0.3">
      <c r="A46" s="66" t="s">
        <v>114</v>
      </c>
      <c r="B46" s="18" t="s">
        <v>6</v>
      </c>
      <c r="C46" s="48" t="str">
        <f>VLOOKUP($A46,PERTANYAAN!$A$18:$E$71,3,0)</f>
        <v>Komunikasi</v>
      </c>
      <c r="D46" s="49">
        <f>VLOOKUP($A46,PERTANYAAN!$A$18:$E$71,5,0)</f>
        <v>0.1</v>
      </c>
      <c r="E46" s="17"/>
      <c r="F46" s="16"/>
      <c r="G46" s="16"/>
      <c r="H46" s="11"/>
      <c r="I46" s="11"/>
      <c r="J46" s="11"/>
      <c r="K46" s="11"/>
      <c r="L46" s="11" t="s">
        <v>16</v>
      </c>
      <c r="M46" s="16">
        <f>IF(H46="V",$D46*H$15,IF(I46="V",$D46*I$15,IF(J46="V",$D46*J$15,IF(K46="V",$D46*K$15,IF(L46="V",$D46*L$15,0)))))*100</f>
        <v>10</v>
      </c>
      <c r="N46" s="15"/>
    </row>
    <row r="47" spans="1:14" x14ac:dyDescent="0.3">
      <c r="A47" s="66" t="s">
        <v>115</v>
      </c>
      <c r="B47" s="18" t="s">
        <v>6</v>
      </c>
      <c r="C47" s="48" t="str">
        <f>VLOOKUP($A47,PERTANYAAN!$A$18:$E$71,3,0)</f>
        <v>Patuh pada Peraturan / Commitment</v>
      </c>
      <c r="D47" s="49">
        <f>VLOOKUP($A47,PERTANYAAN!$A$18:$E$71,5,0)</f>
        <v>0.05</v>
      </c>
      <c r="E47" s="17"/>
      <c r="F47" s="16"/>
      <c r="G47" s="16"/>
      <c r="H47" s="11"/>
      <c r="I47" s="11"/>
      <c r="J47" s="11"/>
      <c r="K47" s="11" t="s">
        <v>16</v>
      </c>
      <c r="L47" s="11"/>
      <c r="M47" s="16">
        <f>IF(H47="V",$D47*H$15,IF(I47="V",$D47*I$15,IF(J47="V",$D47*J$15,IF(K47="V",$D47*K$15,IF(L47="V",$D47*L$15,0)))))*100</f>
        <v>4.0000000000000009</v>
      </c>
      <c r="N47" s="15" t="s">
        <v>154</v>
      </c>
    </row>
    <row r="48" spans="1:14" x14ac:dyDescent="0.3">
      <c r="A48" s="66" t="s">
        <v>116</v>
      </c>
      <c r="B48" s="18" t="s">
        <v>6</v>
      </c>
      <c r="C48" s="48" t="str">
        <f>VLOOKUP($A48,PERTANYAAN!$A$18:$E$71,3,0)</f>
        <v>Determinasi thd tekanan</v>
      </c>
      <c r="D48" s="49">
        <f>VLOOKUP($A48,PERTANYAAN!$A$18:$E$71,5,0)</f>
        <v>7.4999999999999997E-2</v>
      </c>
      <c r="E48" s="17"/>
      <c r="F48" s="16"/>
      <c r="G48" s="16"/>
      <c r="H48" s="11"/>
      <c r="I48" s="11"/>
      <c r="J48" s="11" t="s">
        <v>16</v>
      </c>
      <c r="K48" s="11"/>
      <c r="L48" s="11"/>
      <c r="M48" s="16">
        <f>IF(H48="V",$D48*H$15,IF(I48="V",$D48*I$15,IF(J48="V",$D48*J$15,IF(K48="V",$D48*K$15,IF(L48="V",$D48*L$15,0)))))*100</f>
        <v>4.5</v>
      </c>
      <c r="N48" s="15"/>
    </row>
    <row r="49" spans="1:14" x14ac:dyDescent="0.3">
      <c r="A49" s="1"/>
      <c r="B49" s="18"/>
      <c r="C49" s="15"/>
      <c r="D49" s="17"/>
      <c r="E49" s="17"/>
      <c r="F49" s="16"/>
      <c r="G49" s="16"/>
      <c r="H49" s="11"/>
      <c r="I49" s="11"/>
      <c r="J49" s="11"/>
      <c r="K49" s="11"/>
      <c r="L49" s="11"/>
      <c r="M49" s="16"/>
      <c r="N49" s="15"/>
    </row>
    <row r="50" spans="1:14" hidden="1" outlineLevel="1" x14ac:dyDescent="0.3">
      <c r="A50" s="1"/>
      <c r="B50" s="14">
        <v>2</v>
      </c>
      <c r="C50" s="15" t="s">
        <v>26</v>
      </c>
      <c r="D50" s="17"/>
      <c r="E50" s="17"/>
      <c r="F50" s="16"/>
      <c r="G50" s="16"/>
      <c r="H50" s="11"/>
      <c r="I50" s="11"/>
      <c r="J50" s="11"/>
      <c r="K50" s="11"/>
      <c r="L50" s="11"/>
      <c r="M50" s="16"/>
      <c r="N50" s="15"/>
    </row>
    <row r="51" spans="1:14" hidden="1" outlineLevel="1" x14ac:dyDescent="0.3">
      <c r="A51" s="1"/>
      <c r="B51" s="18" t="s">
        <v>6</v>
      </c>
      <c r="C51" s="15" t="s">
        <v>54</v>
      </c>
      <c r="D51" s="17"/>
      <c r="E51" s="17"/>
      <c r="F51" s="16"/>
      <c r="G51" s="16"/>
      <c r="H51" s="11"/>
      <c r="I51" s="11"/>
      <c r="J51" s="11"/>
      <c r="K51" s="11"/>
      <c r="L51" s="11"/>
      <c r="M51" s="16"/>
      <c r="N51" s="15"/>
    </row>
    <row r="52" spans="1:14" hidden="1" outlineLevel="1" x14ac:dyDescent="0.3">
      <c r="A52" s="1"/>
      <c r="B52" s="18" t="s">
        <v>6</v>
      </c>
      <c r="C52" s="15" t="s">
        <v>55</v>
      </c>
      <c r="D52" s="17"/>
      <c r="E52" s="17"/>
      <c r="F52" s="16"/>
      <c r="G52" s="16"/>
      <c r="H52" s="11"/>
      <c r="I52" s="11"/>
      <c r="J52" s="11"/>
      <c r="K52" s="11"/>
      <c r="L52" s="11"/>
      <c r="M52" s="16"/>
      <c r="N52" s="15"/>
    </row>
    <row r="53" spans="1:14" hidden="1" outlineLevel="1" x14ac:dyDescent="0.3">
      <c r="A53" s="1"/>
      <c r="B53" s="18" t="s">
        <v>6</v>
      </c>
      <c r="C53" s="15" t="s">
        <v>56</v>
      </c>
      <c r="D53" s="17"/>
      <c r="E53" s="17"/>
      <c r="F53" s="16"/>
      <c r="G53" s="16"/>
      <c r="H53" s="11"/>
      <c r="I53" s="11"/>
      <c r="J53" s="11"/>
      <c r="K53" s="11"/>
      <c r="L53" s="11"/>
      <c r="M53" s="16"/>
      <c r="N53" s="15"/>
    </row>
    <row r="54" spans="1:14" hidden="1" outlineLevel="1" x14ac:dyDescent="0.3">
      <c r="A54" s="1"/>
      <c r="B54" s="18"/>
      <c r="C54" s="15"/>
      <c r="D54" s="17"/>
      <c r="E54" s="17"/>
      <c r="F54" s="16"/>
      <c r="G54" s="16"/>
      <c r="H54" s="11"/>
      <c r="I54" s="11"/>
      <c r="J54" s="11"/>
      <c r="K54" s="11"/>
      <c r="L54" s="11"/>
      <c r="M54" s="16"/>
      <c r="N54" s="15"/>
    </row>
    <row r="55" spans="1:14" hidden="1" outlineLevel="1" x14ac:dyDescent="0.3">
      <c r="A55" s="1"/>
      <c r="B55" s="14">
        <v>3</v>
      </c>
      <c r="C55" s="15" t="s">
        <v>27</v>
      </c>
      <c r="D55" s="17"/>
      <c r="E55" s="17"/>
      <c r="F55" s="16"/>
      <c r="G55" s="16"/>
      <c r="H55" s="11"/>
      <c r="I55" s="11"/>
      <c r="J55" s="11"/>
      <c r="K55" s="11"/>
      <c r="L55" s="11"/>
      <c r="M55" s="16"/>
      <c r="N55" s="15"/>
    </row>
    <row r="56" spans="1:14" hidden="1" outlineLevel="1" x14ac:dyDescent="0.3">
      <c r="A56" s="1"/>
      <c r="B56" s="18" t="s">
        <v>6</v>
      </c>
      <c r="C56" s="15" t="s">
        <v>54</v>
      </c>
      <c r="D56" s="17"/>
      <c r="E56" s="17"/>
      <c r="F56" s="16"/>
      <c r="G56" s="16"/>
      <c r="H56" s="11"/>
      <c r="I56" s="11"/>
      <c r="J56" s="11"/>
      <c r="K56" s="11"/>
      <c r="L56" s="11"/>
      <c r="M56" s="16"/>
      <c r="N56" s="15"/>
    </row>
    <row r="57" spans="1:14" hidden="1" outlineLevel="1" x14ac:dyDescent="0.3">
      <c r="A57" s="1"/>
      <c r="B57" s="18" t="s">
        <v>6</v>
      </c>
      <c r="C57" s="15" t="s">
        <v>56</v>
      </c>
      <c r="D57" s="17"/>
      <c r="E57" s="17"/>
      <c r="F57" s="16"/>
      <c r="G57" s="16"/>
      <c r="H57" s="11"/>
      <c r="I57" s="11"/>
      <c r="J57" s="11"/>
      <c r="K57" s="11"/>
      <c r="L57" s="11"/>
      <c r="M57" s="16"/>
      <c r="N57" s="15"/>
    </row>
    <row r="58" spans="1:14" hidden="1" outlineLevel="1" x14ac:dyDescent="0.3">
      <c r="A58" s="1"/>
      <c r="B58" s="18" t="s">
        <v>6</v>
      </c>
      <c r="C58" s="15" t="s">
        <v>57</v>
      </c>
      <c r="D58" s="17"/>
      <c r="E58" s="17"/>
      <c r="F58" s="16"/>
      <c r="G58" s="16"/>
      <c r="H58" s="11"/>
      <c r="I58" s="11"/>
      <c r="J58" s="11"/>
      <c r="K58" s="11"/>
      <c r="L58" s="11"/>
      <c r="M58" s="16"/>
      <c r="N58" s="15"/>
    </row>
    <row r="59" spans="1:14" hidden="1" outlineLevel="1" x14ac:dyDescent="0.3">
      <c r="A59" s="1"/>
      <c r="B59" s="14"/>
      <c r="C59" s="15"/>
      <c r="D59" s="17"/>
      <c r="E59" s="17"/>
      <c r="F59" s="16"/>
      <c r="G59" s="16"/>
      <c r="H59" s="11"/>
      <c r="I59" s="11"/>
      <c r="J59" s="11"/>
      <c r="K59" s="11"/>
      <c r="L59" s="11"/>
      <c r="M59" s="16"/>
      <c r="N59" s="15"/>
    </row>
    <row r="60" spans="1:14" s="2" customFormat="1" collapsed="1" x14ac:dyDescent="0.3">
      <c r="A60" s="3"/>
      <c r="B60" s="51" t="s">
        <v>98</v>
      </c>
      <c r="C60" s="52" t="s">
        <v>46</v>
      </c>
      <c r="D60" s="54">
        <f>SUM(D61:D64)</f>
        <v>0.15</v>
      </c>
      <c r="E60" s="54"/>
      <c r="F60" s="57"/>
      <c r="G60" s="57"/>
      <c r="H60" s="62"/>
      <c r="I60" s="62"/>
      <c r="J60" s="62"/>
      <c r="K60" s="62"/>
      <c r="L60" s="62"/>
      <c r="M60" s="57">
        <f>SUM(M61:M64)</f>
        <v>12</v>
      </c>
      <c r="N60" s="52"/>
    </row>
    <row r="61" spans="1:14" x14ac:dyDescent="0.3">
      <c r="A61" s="66" t="s">
        <v>117</v>
      </c>
      <c r="B61" s="18" t="s">
        <v>6</v>
      </c>
      <c r="C61" s="48" t="str">
        <f>VLOOKUP($A61,PERTANYAAN!$A$18:$E$71,3,0)</f>
        <v>Antusiasme / Keinginan bergabung</v>
      </c>
      <c r="D61" s="49">
        <f>VLOOKUP($A61,PERTANYAAN!$A$18:$E$71,5,0)</f>
        <v>7.4999999999999997E-2</v>
      </c>
      <c r="E61" s="17"/>
      <c r="F61" s="16"/>
      <c r="G61" s="16"/>
      <c r="H61" s="11"/>
      <c r="I61" s="11"/>
      <c r="J61" s="11"/>
      <c r="K61" s="11" t="s">
        <v>16</v>
      </c>
      <c r="L61" s="11"/>
      <c r="M61" s="16">
        <f t="shared" ref="M61:M63" si="2">IF(H61="V",$D61*H$15,IF(I61="V",$D61*I$15,IF(J61="V",$D61*J$15,IF(K61="V",$D61*K$15,IF(L61="V",$D61*L$15,0)))))*100</f>
        <v>6</v>
      </c>
      <c r="N61" s="15"/>
    </row>
    <row r="62" spans="1:14" x14ac:dyDescent="0.3">
      <c r="A62" s="66" t="s">
        <v>118</v>
      </c>
      <c r="B62" s="18" t="s">
        <v>6</v>
      </c>
      <c r="C62" s="48" t="str">
        <f>VLOOKUP($A62,PERTANYAAN!$A$18:$E$71,3,0)</f>
        <v>Inisiatif</v>
      </c>
      <c r="D62" s="49">
        <f>VLOOKUP($A62,PERTANYAAN!$A$18:$E$71,5,0)</f>
        <v>0.05</v>
      </c>
      <c r="E62" s="17"/>
      <c r="F62" s="16"/>
      <c r="G62" s="16"/>
      <c r="H62" s="11"/>
      <c r="I62" s="11"/>
      <c r="J62" s="11"/>
      <c r="K62" s="11" t="s">
        <v>16</v>
      </c>
      <c r="L62" s="11"/>
      <c r="M62" s="16">
        <f t="shared" si="2"/>
        <v>4.0000000000000009</v>
      </c>
      <c r="N62" s="15" t="s">
        <v>156</v>
      </c>
    </row>
    <row r="63" spans="1:14" x14ac:dyDescent="0.3">
      <c r="A63" s="66" t="s">
        <v>119</v>
      </c>
      <c r="B63" s="18" t="s">
        <v>6</v>
      </c>
      <c r="C63" s="48" t="str">
        <f>VLOOKUP($A63,PERTANYAAN!$A$18:$E$71,3,0)</f>
        <v>Adaptif</v>
      </c>
      <c r="D63" s="49">
        <f>VLOOKUP($A63,PERTANYAAN!$A$18:$E$71,5,0)</f>
        <v>2.5000000000000001E-2</v>
      </c>
      <c r="E63" s="17"/>
      <c r="F63" s="16"/>
      <c r="G63" s="16"/>
      <c r="H63" s="11"/>
      <c r="I63" s="11"/>
      <c r="J63" s="11"/>
      <c r="K63" s="11" t="s">
        <v>16</v>
      </c>
      <c r="L63" s="11"/>
      <c r="M63" s="16">
        <f t="shared" si="2"/>
        <v>2.0000000000000004</v>
      </c>
      <c r="N63" s="15"/>
    </row>
    <row r="64" spans="1:14" x14ac:dyDescent="0.3">
      <c r="A64" s="1"/>
      <c r="B64" s="14"/>
      <c r="C64" s="15"/>
      <c r="D64" s="17"/>
      <c r="E64" s="17"/>
      <c r="F64" s="16"/>
      <c r="G64" s="16"/>
      <c r="H64" s="11"/>
      <c r="I64" s="11"/>
      <c r="J64" s="11"/>
      <c r="K64" s="11"/>
      <c r="L64" s="11"/>
      <c r="M64" s="16"/>
      <c r="N64" s="15"/>
    </row>
    <row r="65" spans="1:14" s="2" customFormat="1" x14ac:dyDescent="0.3">
      <c r="A65" s="3"/>
      <c r="B65" s="51" t="s">
        <v>99</v>
      </c>
      <c r="C65" s="52" t="s">
        <v>48</v>
      </c>
      <c r="D65" s="54">
        <f>SUM(D66:D68)</f>
        <v>0.05</v>
      </c>
      <c r="E65" s="54"/>
      <c r="F65" s="57"/>
      <c r="G65" s="57"/>
      <c r="H65" s="62"/>
      <c r="I65" s="62"/>
      <c r="J65" s="62"/>
      <c r="K65" s="62"/>
      <c r="L65" s="62"/>
      <c r="M65" s="57">
        <f>SUM(M66:M68)</f>
        <v>2.8</v>
      </c>
      <c r="N65" s="52"/>
    </row>
    <row r="66" spans="1:14" x14ac:dyDescent="0.3">
      <c r="A66" s="66" t="s">
        <v>120</v>
      </c>
      <c r="B66" s="18" t="s">
        <v>6</v>
      </c>
      <c r="C66" s="48" t="str">
        <f>VLOOKUP($A66,PERTANYAAN!$A$18:$E$71,3,0)</f>
        <v>Ekspektasi Salary (Mengukur Budget &amp; Skill)</v>
      </c>
      <c r="D66" s="49">
        <f>VLOOKUP($A66,PERTANYAAN!$A$18:$E$71,5,0)</f>
        <v>0.04</v>
      </c>
      <c r="E66" s="17"/>
      <c r="F66" s="16"/>
      <c r="G66" s="16"/>
      <c r="H66" s="11"/>
      <c r="I66" s="11"/>
      <c r="J66" s="11" t="s">
        <v>16</v>
      </c>
      <c r="K66" s="11"/>
      <c r="L66" s="11"/>
      <c r="M66" s="16">
        <f t="shared" ref="M66:M67" si="3">IF(H66="V",$D66*H$15,IF(I66="V",$D66*I$15,IF(J66="V",$D66*J$15,IF(K66="V",$D66*K$15,IF(L66="V",$D66*L$15,0)))))*100</f>
        <v>2.4</v>
      </c>
      <c r="N66" s="15" t="s">
        <v>157</v>
      </c>
    </row>
    <row r="67" spans="1:14" x14ac:dyDescent="0.3">
      <c r="A67" s="66" t="s">
        <v>121</v>
      </c>
      <c r="B67" s="18" t="s">
        <v>6</v>
      </c>
      <c r="C67" s="48" t="str">
        <f>VLOOKUP($A67,PERTANYAAN!$A$18:$E$71,3,0)</f>
        <v>Tujuan Karir</v>
      </c>
      <c r="D67" s="49">
        <f>VLOOKUP($A67,PERTANYAAN!$A$18:$E$71,5,0)</f>
        <v>0.01</v>
      </c>
      <c r="E67" s="17"/>
      <c r="F67" s="16"/>
      <c r="G67" s="16"/>
      <c r="H67" s="11"/>
      <c r="I67" s="11" t="s">
        <v>16</v>
      </c>
      <c r="J67" s="11"/>
      <c r="K67" s="11"/>
      <c r="L67" s="11"/>
      <c r="M67" s="16">
        <f t="shared" si="3"/>
        <v>0.4</v>
      </c>
      <c r="N67" s="15" t="s">
        <v>158</v>
      </c>
    </row>
    <row r="68" spans="1:14" x14ac:dyDescent="0.3">
      <c r="A68" s="66"/>
      <c r="B68" s="14"/>
      <c r="C68" s="15"/>
      <c r="D68" s="17"/>
      <c r="E68" s="17"/>
      <c r="F68" s="16"/>
      <c r="G68" s="16"/>
      <c r="H68" s="11"/>
      <c r="I68" s="11"/>
      <c r="J68" s="11"/>
      <c r="K68" s="11"/>
      <c r="L68" s="11"/>
      <c r="M68" s="16"/>
      <c r="N68" s="15"/>
    </row>
    <row r="69" spans="1:14" s="2" customFormat="1" x14ac:dyDescent="0.3">
      <c r="A69" s="3"/>
      <c r="B69" s="51" t="s">
        <v>100</v>
      </c>
      <c r="C69" s="52" t="s">
        <v>134</v>
      </c>
      <c r="D69" s="54">
        <f>SUM(D70:D70)</f>
        <v>0.05</v>
      </c>
      <c r="E69" s="54"/>
      <c r="F69" s="57"/>
      <c r="G69" s="57"/>
      <c r="H69" s="62"/>
      <c r="I69" s="62"/>
      <c r="J69" s="62"/>
      <c r="K69" s="62"/>
      <c r="L69" s="62"/>
      <c r="M69" s="57">
        <f>SUM(M70)</f>
        <v>0</v>
      </c>
      <c r="N69" s="52"/>
    </row>
    <row r="70" spans="1:14" x14ac:dyDescent="0.3">
      <c r="A70" s="66" t="s">
        <v>122</v>
      </c>
      <c r="B70" s="18" t="s">
        <v>6</v>
      </c>
      <c r="C70" s="48" t="str">
        <f>VLOOKUP($A70,PERTANYAAN!$A$18:$E$71,3,0)</f>
        <v>Pertanyaan Spesifik User</v>
      </c>
      <c r="D70" s="49">
        <f>VLOOKUP($A70,PERTANYAAN!$A$18:$E$71,5,0)</f>
        <v>0.05</v>
      </c>
      <c r="E70" s="17"/>
      <c r="F70" s="16"/>
      <c r="G70" s="16"/>
      <c r="H70" s="11"/>
      <c r="I70" s="11"/>
      <c r="J70" s="11"/>
      <c r="K70" s="11"/>
      <c r="L70" s="11"/>
      <c r="M70" s="16">
        <f t="shared" ref="M70" si="4">IF(H70="V",$D70*H$15,IF(I70="V",$D70*I$15,IF(J70="V",$D70*J$15,IF(K70="V",$D70*K$15,IF(L70="V",$D70*L$15,0)))))*100</f>
        <v>0</v>
      </c>
      <c r="N70" s="15"/>
    </row>
    <row r="71" spans="1:14" x14ac:dyDescent="0.3">
      <c r="B71" s="19"/>
      <c r="C71" s="20"/>
      <c r="D71" s="22"/>
      <c r="E71" s="22"/>
      <c r="F71" s="21"/>
      <c r="G71" s="21"/>
      <c r="H71" s="23"/>
      <c r="I71" s="23"/>
      <c r="J71" s="23"/>
      <c r="K71" s="23"/>
      <c r="L71" s="23"/>
      <c r="M71" s="21"/>
      <c r="N71" s="20"/>
    </row>
    <row r="73" spans="1:14" x14ac:dyDescent="0.3">
      <c r="B73" s="1" t="s">
        <v>6</v>
      </c>
      <c r="C73" t="s">
        <v>165</v>
      </c>
      <c r="N73" t="s">
        <v>166</v>
      </c>
    </row>
    <row r="75" spans="1:14" x14ac:dyDescent="0.3">
      <c r="C75" s="2" t="s">
        <v>159</v>
      </c>
    </row>
    <row r="76" spans="1:14" x14ac:dyDescent="0.3">
      <c r="B76" s="85" t="s">
        <v>6</v>
      </c>
      <c r="C76" s="87" t="s">
        <v>160</v>
      </c>
      <c r="F76" s="88"/>
      <c r="G76" s="88"/>
      <c r="H76" s="88"/>
      <c r="I76" s="88"/>
      <c r="J76" s="88"/>
      <c r="K76" s="88"/>
      <c r="L76" s="88"/>
      <c r="M76" s="88"/>
      <c r="N76" t="s">
        <v>167</v>
      </c>
    </row>
    <row r="77" spans="1:14" x14ac:dyDescent="0.3">
      <c r="B77" s="85"/>
      <c r="C77" s="87"/>
      <c r="F77" s="88"/>
      <c r="G77" s="88"/>
      <c r="H77" s="88"/>
      <c r="I77" s="88"/>
      <c r="J77" s="88"/>
      <c r="K77" s="88"/>
      <c r="L77" s="88"/>
      <c r="M77" s="88"/>
    </row>
    <row r="82" spans="2:14" x14ac:dyDescent="0.3">
      <c r="C82" s="2" t="s">
        <v>161</v>
      </c>
    </row>
    <row r="83" spans="2:14" x14ac:dyDescent="0.3">
      <c r="B83" s="1" t="s">
        <v>6</v>
      </c>
      <c r="C83" t="s">
        <v>162</v>
      </c>
      <c r="N83" t="s">
        <v>163</v>
      </c>
    </row>
    <row r="84" spans="2:14" x14ac:dyDescent="0.3">
      <c r="M84" s="89">
        <v>1</v>
      </c>
      <c r="N84" t="s">
        <v>169</v>
      </c>
    </row>
    <row r="85" spans="2:14" x14ac:dyDescent="0.3">
      <c r="M85" s="89">
        <v>2</v>
      </c>
      <c r="N85" t="s">
        <v>170</v>
      </c>
    </row>
    <row r="86" spans="2:14" x14ac:dyDescent="0.3">
      <c r="M86" s="89"/>
    </row>
    <row r="87" spans="2:14" x14ac:dyDescent="0.3">
      <c r="M87" s="89"/>
      <c r="N87" t="s">
        <v>164</v>
      </c>
    </row>
    <row r="88" spans="2:14" x14ac:dyDescent="0.3">
      <c r="M88" s="89">
        <v>1</v>
      </c>
      <c r="N88" t="s">
        <v>171</v>
      </c>
    </row>
    <row r="89" spans="2:14" x14ac:dyDescent="0.3">
      <c r="M89" s="89">
        <v>2</v>
      </c>
      <c r="N89" t="s">
        <v>172</v>
      </c>
    </row>
    <row r="91" spans="2:14" x14ac:dyDescent="0.3">
      <c r="H91" s="26" t="s">
        <v>61</v>
      </c>
    </row>
    <row r="92" spans="2:14" x14ac:dyDescent="0.3">
      <c r="H92" s="7" t="s">
        <v>39</v>
      </c>
      <c r="I92" s="7" t="s">
        <v>29</v>
      </c>
      <c r="J92" s="25" t="s">
        <v>69</v>
      </c>
    </row>
    <row r="93" spans="2:14" x14ac:dyDescent="0.3">
      <c r="H93" s="7" t="s">
        <v>40</v>
      </c>
      <c r="I93" s="7" t="s">
        <v>29</v>
      </c>
      <c r="J93" s="25" t="s">
        <v>70</v>
      </c>
    </row>
    <row r="94" spans="2:14" x14ac:dyDescent="0.3">
      <c r="H94" s="7" t="s">
        <v>41</v>
      </c>
      <c r="I94" s="7" t="s">
        <v>29</v>
      </c>
      <c r="J94" s="25" t="s">
        <v>71</v>
      </c>
    </row>
    <row r="95" spans="2:14" x14ac:dyDescent="0.3">
      <c r="H95" s="7" t="s">
        <v>42</v>
      </c>
      <c r="I95" s="7" t="s">
        <v>29</v>
      </c>
      <c r="J95" s="25" t="s">
        <v>72</v>
      </c>
    </row>
    <row r="96" spans="2:14" x14ac:dyDescent="0.3">
      <c r="H96" s="7" t="s">
        <v>43</v>
      </c>
      <c r="I96" s="7" t="s">
        <v>29</v>
      </c>
      <c r="J96" s="25" t="s">
        <v>73</v>
      </c>
    </row>
  </sheetData>
  <mergeCells count="10">
    <mergeCell ref="B76:B77"/>
    <mergeCell ref="C76:C77"/>
    <mergeCell ref="N13:N14"/>
    <mergeCell ref="A13:A14"/>
    <mergeCell ref="B13:B14"/>
    <mergeCell ref="C13:C14"/>
    <mergeCell ref="D13:D14"/>
    <mergeCell ref="F13:G13"/>
    <mergeCell ref="H13:L13"/>
    <mergeCell ref="M13:M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A734-ED5D-4B91-A489-20390D49DE65}">
  <sheetPr>
    <tabColor rgb="FF92D050"/>
  </sheetPr>
  <dimension ref="A1:N95"/>
  <sheetViews>
    <sheetView zoomScaleNormal="100" workbookViewId="0">
      <pane xSplit="1" ySplit="14" topLeftCell="B72" activePane="bottomRight" state="frozen"/>
      <selection activeCell="M16" sqref="M16"/>
      <selection pane="topRight" activeCell="M16" sqref="M16"/>
      <selection pane="bottomLeft" activeCell="M16" sqref="M16"/>
      <selection pane="bottomRight" activeCell="C84" sqref="C84"/>
    </sheetView>
  </sheetViews>
  <sheetFormatPr defaultColWidth="8.88671875" defaultRowHeight="14.4" outlineLevelRow="1" x14ac:dyDescent="0.3"/>
  <cols>
    <col min="1" max="1" width="17.6640625" customWidth="1"/>
    <col min="2" max="2" width="4.33203125" style="1" bestFit="1" customWidth="1"/>
    <col min="3" max="3" width="40.109375" bestFit="1" customWidth="1"/>
    <col min="4" max="4" width="8.88671875" style="5"/>
    <col min="5" max="5" width="1.6640625" style="5" customWidth="1"/>
    <col min="6" max="7" width="8.88671875" style="4"/>
    <col min="8" max="12" width="8.88671875" style="7"/>
    <col min="13" max="13" width="8.88671875" style="4"/>
    <col min="14" max="14" width="77" bestFit="1" customWidth="1"/>
  </cols>
  <sheetData>
    <row r="1" spans="1:14" x14ac:dyDescent="0.3">
      <c r="A1" s="2" t="s">
        <v>124</v>
      </c>
    </row>
    <row r="2" spans="1:14" x14ac:dyDescent="0.3">
      <c r="A2" s="2" t="s">
        <v>0</v>
      </c>
    </row>
    <row r="5" spans="1:14" x14ac:dyDescent="0.3">
      <c r="A5" s="2" t="s">
        <v>1</v>
      </c>
      <c r="B5" s="1" t="s">
        <v>29</v>
      </c>
      <c r="C5" s="2" t="s">
        <v>148</v>
      </c>
    </row>
    <row r="6" spans="1:14" x14ac:dyDescent="0.3">
      <c r="A6" s="2" t="s">
        <v>20</v>
      </c>
      <c r="B6" s="1" t="s">
        <v>29</v>
      </c>
      <c r="C6" t="s">
        <v>31</v>
      </c>
    </row>
    <row r="7" spans="1:14" x14ac:dyDescent="0.3">
      <c r="A7" s="2" t="s">
        <v>32</v>
      </c>
      <c r="B7" s="1" t="s">
        <v>29</v>
      </c>
      <c r="C7" t="s">
        <v>152</v>
      </c>
    </row>
    <row r="8" spans="1:14" x14ac:dyDescent="0.3">
      <c r="A8" s="2" t="s">
        <v>34</v>
      </c>
      <c r="B8" s="1" t="s">
        <v>29</v>
      </c>
      <c r="C8" t="s">
        <v>35</v>
      </c>
    </row>
    <row r="9" spans="1:14" x14ac:dyDescent="0.3">
      <c r="A9" s="2" t="s">
        <v>28</v>
      </c>
      <c r="B9" s="1" t="s">
        <v>29</v>
      </c>
      <c r="C9" t="s">
        <v>183</v>
      </c>
    </row>
    <row r="10" spans="1:14" x14ac:dyDescent="0.3">
      <c r="A10" s="2" t="s">
        <v>38</v>
      </c>
      <c r="B10" s="1" t="s">
        <v>29</v>
      </c>
      <c r="C10" s="2" t="s">
        <v>153</v>
      </c>
      <c r="D10" s="6" t="s">
        <v>91</v>
      </c>
    </row>
    <row r="11" spans="1:14" x14ac:dyDescent="0.3">
      <c r="A11" s="2" t="s">
        <v>67</v>
      </c>
      <c r="B11" s="1" t="s">
        <v>29</v>
      </c>
      <c r="C11" s="24">
        <f>M16</f>
        <v>52.2</v>
      </c>
    </row>
    <row r="13" spans="1:14" s="2" customFormat="1" x14ac:dyDescent="0.3">
      <c r="A13" s="73" t="s">
        <v>123</v>
      </c>
      <c r="B13" s="74" t="s">
        <v>2</v>
      </c>
      <c r="C13" s="74" t="s">
        <v>3</v>
      </c>
      <c r="D13" s="76" t="s">
        <v>19</v>
      </c>
      <c r="E13" s="43"/>
      <c r="F13" s="78" t="s">
        <v>18</v>
      </c>
      <c r="G13" s="78"/>
      <c r="H13" s="74" t="s">
        <v>37</v>
      </c>
      <c r="I13" s="74"/>
      <c r="J13" s="74"/>
      <c r="K13" s="74"/>
      <c r="L13" s="74"/>
      <c r="M13" s="78" t="s">
        <v>17</v>
      </c>
      <c r="N13" s="68" t="s">
        <v>61</v>
      </c>
    </row>
    <row r="14" spans="1:14" s="2" customFormat="1" x14ac:dyDescent="0.3">
      <c r="A14" s="73"/>
      <c r="B14" s="74"/>
      <c r="C14" s="75"/>
      <c r="D14" s="77"/>
      <c r="E14" s="45"/>
      <c r="F14" s="44" t="s">
        <v>14</v>
      </c>
      <c r="G14" s="44" t="s">
        <v>15</v>
      </c>
      <c r="H14" s="42" t="s">
        <v>39</v>
      </c>
      <c r="I14" s="42" t="s">
        <v>40</v>
      </c>
      <c r="J14" s="42" t="s">
        <v>41</v>
      </c>
      <c r="K14" s="42" t="s">
        <v>42</v>
      </c>
      <c r="L14" s="42" t="s">
        <v>43</v>
      </c>
      <c r="M14" s="78"/>
      <c r="N14" s="68"/>
    </row>
    <row r="15" spans="1:14" s="2" customFormat="1" x14ac:dyDescent="0.3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3">
      <c r="A16" s="3"/>
      <c r="B16" s="40"/>
      <c r="C16" s="67" t="s">
        <v>65</v>
      </c>
      <c r="D16" s="40"/>
      <c r="E16" s="40"/>
      <c r="F16" s="64"/>
      <c r="G16" s="64"/>
      <c r="H16" s="40"/>
      <c r="I16" s="40"/>
      <c r="J16" s="40"/>
      <c r="K16" s="40"/>
      <c r="L16" s="40"/>
      <c r="M16" s="41">
        <f>M17+M21+M27+M43+M60+M65+M69</f>
        <v>52.2</v>
      </c>
      <c r="N16" s="36"/>
    </row>
    <row r="17" spans="1:14" x14ac:dyDescent="0.3">
      <c r="B17" s="51" t="s">
        <v>66</v>
      </c>
      <c r="C17" s="52" t="s">
        <v>8</v>
      </c>
      <c r="D17" s="54">
        <f>SUM(D18:D19)</f>
        <v>0.1</v>
      </c>
      <c r="E17" s="54"/>
      <c r="F17" s="57"/>
      <c r="G17" s="57"/>
      <c r="H17" s="56"/>
      <c r="I17" s="56"/>
      <c r="J17" s="56"/>
      <c r="K17" s="56"/>
      <c r="L17" s="56"/>
      <c r="M17" s="57">
        <f>SUM(M18:M20)</f>
        <v>4</v>
      </c>
      <c r="N17" s="58"/>
    </row>
    <row r="18" spans="1:14" x14ac:dyDescent="0.3">
      <c r="A18" s="66" t="s">
        <v>101</v>
      </c>
      <c r="B18" s="18">
        <v>1</v>
      </c>
      <c r="C18" s="48" t="str">
        <f>VLOOKUP($A18,PERTANYAAN!$A$18:$E$71,3,0)</f>
        <v>Pengalaman di dalam Daniswara Group</v>
      </c>
      <c r="D18" s="49">
        <f>VLOOKUP($A18,PERTANYAAN!$A$18:$E$71,5,0)</f>
        <v>0.06</v>
      </c>
      <c r="E18" s="17"/>
      <c r="F18" s="16"/>
      <c r="G18" s="16" t="s">
        <v>16</v>
      </c>
      <c r="H18" s="11"/>
      <c r="I18" s="11"/>
      <c r="J18" s="11"/>
      <c r="K18" s="11"/>
      <c r="L18" s="11"/>
      <c r="M18" s="16">
        <f>IF(F18="V",D18*100,0)</f>
        <v>0</v>
      </c>
      <c r="N18" s="15"/>
    </row>
    <row r="19" spans="1:14" x14ac:dyDescent="0.3">
      <c r="A19" s="66" t="s">
        <v>102</v>
      </c>
      <c r="B19" s="18">
        <f>B18+1</f>
        <v>2</v>
      </c>
      <c r="C19" s="48" t="str">
        <f>VLOOKUP($A19,PERTANYAAN!$A$18:$E$71,3,0)</f>
        <v>Pengalaman di luar Daniswara Group</v>
      </c>
      <c r="D19" s="49">
        <f>VLOOKUP($A19,PERTANYAAN!$A$18:$E$71,5,0)</f>
        <v>0.04</v>
      </c>
      <c r="E19" s="17"/>
      <c r="F19" s="16" t="s">
        <v>16</v>
      </c>
      <c r="G19" s="16"/>
      <c r="H19" s="11"/>
      <c r="I19" s="11"/>
      <c r="J19" s="11"/>
      <c r="K19" s="11"/>
      <c r="L19" s="11"/>
      <c r="M19" s="16">
        <f>IF(F19="V",D19*100,0)</f>
        <v>4</v>
      </c>
      <c r="N19" s="15" t="s">
        <v>173</v>
      </c>
    </row>
    <row r="20" spans="1:14" x14ac:dyDescent="0.3">
      <c r="A20" s="1"/>
      <c r="B20" s="14"/>
      <c r="C20" s="15"/>
      <c r="D20" s="17"/>
      <c r="E20" s="17"/>
      <c r="F20" s="16"/>
      <c r="G20" s="16"/>
      <c r="H20" s="11"/>
      <c r="I20" s="11"/>
      <c r="J20" s="11"/>
      <c r="K20" s="11"/>
      <c r="L20" s="11"/>
      <c r="M20" s="16"/>
      <c r="N20" s="15"/>
    </row>
    <row r="21" spans="1:14" x14ac:dyDescent="0.3">
      <c r="A21" s="1"/>
      <c r="B21" s="51" t="s">
        <v>42</v>
      </c>
      <c r="C21" s="52" t="s">
        <v>9</v>
      </c>
      <c r="D21" s="54">
        <f>SUM(D22:D25)</f>
        <v>0.05</v>
      </c>
      <c r="E21" s="54"/>
      <c r="F21" s="57"/>
      <c r="G21" s="57"/>
      <c r="H21" s="56"/>
      <c r="I21" s="56"/>
      <c r="J21" s="56"/>
      <c r="K21" s="56"/>
      <c r="L21" s="56"/>
      <c r="M21" s="57">
        <f>SUM(M22:M25)</f>
        <v>3</v>
      </c>
      <c r="N21" s="58"/>
    </row>
    <row r="22" spans="1:14" x14ac:dyDescent="0.3">
      <c r="A22" s="66" t="s">
        <v>103</v>
      </c>
      <c r="B22" s="18">
        <v>1</v>
      </c>
      <c r="C22" s="48" t="str">
        <f>VLOOKUP($A22,PERTANYAAN!$A$18:$E$71,3,0)</f>
        <v>Identitas (KTP &amp; KK)</v>
      </c>
      <c r="D22" s="49">
        <f>VLOOKUP($A22,PERTANYAAN!$A$18:$E$71,5,0)</f>
        <v>0.01</v>
      </c>
      <c r="E22" s="17"/>
      <c r="F22" s="16" t="s">
        <v>16</v>
      </c>
      <c r="G22" s="16"/>
      <c r="H22" s="11"/>
      <c r="I22" s="11"/>
      <c r="J22" s="11"/>
      <c r="K22" s="11"/>
      <c r="L22" s="11"/>
      <c r="M22" s="16">
        <f>IF(F22="V",D22*100,0)</f>
        <v>1</v>
      </c>
      <c r="N22" s="15"/>
    </row>
    <row r="23" spans="1:14" x14ac:dyDescent="0.3">
      <c r="A23" s="66" t="s">
        <v>104</v>
      </c>
      <c r="B23" s="18">
        <f>B22+1</f>
        <v>2</v>
      </c>
      <c r="C23" s="48" t="str">
        <f>VLOOKUP($A23,PERTANYAAN!$A$18:$E$71,3,0)</f>
        <v>SIM A (utk jabatan di Divisi Operasi)</v>
      </c>
      <c r="D23" s="49">
        <f>VLOOKUP($A23,PERTANYAAN!$A$18:$E$71,5,0)</f>
        <v>0.02</v>
      </c>
      <c r="E23" s="17"/>
      <c r="F23" s="16"/>
      <c r="G23" s="16" t="s">
        <v>16</v>
      </c>
      <c r="H23" s="11"/>
      <c r="I23" s="11"/>
      <c r="J23" s="11"/>
      <c r="K23" s="11"/>
      <c r="L23" s="11"/>
      <c r="M23" s="16">
        <f>IF(F23="V",D23*100,0)</f>
        <v>0</v>
      </c>
      <c r="N23" s="15"/>
    </row>
    <row r="24" spans="1:14" x14ac:dyDescent="0.3">
      <c r="A24" s="66" t="s">
        <v>105</v>
      </c>
      <c r="B24" s="18">
        <f t="shared" ref="B24:B25" si="0">B23+1</f>
        <v>3</v>
      </c>
      <c r="C24" s="48" t="str">
        <f>VLOOKUP($A24,PERTANYAAN!$A$18:$E$71,3,0)</f>
        <v>SIM C</v>
      </c>
      <c r="D24" s="49">
        <f>VLOOKUP($A24,PERTANYAAN!$A$18:$E$71,5,0)</f>
        <v>0.01</v>
      </c>
      <c r="E24" s="17"/>
      <c r="F24" s="16" t="s">
        <v>16</v>
      </c>
      <c r="G24" s="16"/>
      <c r="H24" s="11"/>
      <c r="I24" s="11"/>
      <c r="J24" s="11"/>
      <c r="K24" s="11"/>
      <c r="L24" s="11"/>
      <c r="M24" s="16">
        <f>IF(F24="V",D24*100,0)</f>
        <v>1</v>
      </c>
      <c r="N24" s="15"/>
    </row>
    <row r="25" spans="1:14" x14ac:dyDescent="0.3">
      <c r="A25" s="66" t="s">
        <v>106</v>
      </c>
      <c r="B25" s="18">
        <f t="shared" si="0"/>
        <v>4</v>
      </c>
      <c r="C25" s="48" t="str">
        <f>VLOOKUP($A25,PERTANYAAN!$A$18:$E$71,3,0)</f>
        <v>NPWP</v>
      </c>
      <c r="D25" s="49">
        <f>VLOOKUP($A25,PERTANYAAN!$A$18:$E$71,5,0)</f>
        <v>0.01</v>
      </c>
      <c r="E25" s="17"/>
      <c r="F25" s="16" t="s">
        <v>16</v>
      </c>
      <c r="G25" s="16"/>
      <c r="H25" s="11"/>
      <c r="I25" s="11"/>
      <c r="J25" s="11"/>
      <c r="K25" s="11"/>
      <c r="L25" s="11"/>
      <c r="M25" s="16">
        <f>IF(F25="V",D25*100,0)</f>
        <v>1</v>
      </c>
      <c r="N25" s="15"/>
    </row>
    <row r="26" spans="1:14" x14ac:dyDescent="0.3">
      <c r="A26" s="1"/>
      <c r="B26" s="14"/>
      <c r="C26" s="15"/>
      <c r="D26" s="17"/>
      <c r="E26" s="17"/>
      <c r="F26" s="16"/>
      <c r="G26" s="16"/>
      <c r="H26" s="11"/>
      <c r="I26" s="11"/>
      <c r="J26" s="11"/>
      <c r="K26" s="11"/>
      <c r="L26" s="11"/>
      <c r="M26" s="16"/>
      <c r="N26" s="15"/>
    </row>
    <row r="27" spans="1:14" x14ac:dyDescent="0.3">
      <c r="A27" s="1"/>
      <c r="B27" s="51" t="s">
        <v>96</v>
      </c>
      <c r="C27" s="52" t="s">
        <v>21</v>
      </c>
      <c r="D27" s="54">
        <f>D28</f>
        <v>0.35000000000000003</v>
      </c>
      <c r="E27" s="60"/>
      <c r="F27" s="63"/>
      <c r="G27" s="63"/>
      <c r="H27" s="56"/>
      <c r="I27" s="56"/>
      <c r="J27" s="56"/>
      <c r="K27" s="56"/>
      <c r="L27" s="56"/>
      <c r="M27" s="57">
        <f>M28</f>
        <v>12</v>
      </c>
      <c r="N27" s="58"/>
    </row>
    <row r="28" spans="1:14" x14ac:dyDescent="0.3">
      <c r="A28" s="66" t="s">
        <v>107</v>
      </c>
      <c r="B28" s="18">
        <v>1</v>
      </c>
      <c r="C28" s="48" t="str">
        <f>VLOOKUP($A28,PERTANYAAN!$A$18:$E$71,3,0)</f>
        <v>Operasi / Logistik</v>
      </c>
      <c r="D28" s="49">
        <f>VLOOKUP($A28,PERTANYAAN!$A$18:$E$71,5,0)</f>
        <v>0.35000000000000003</v>
      </c>
      <c r="E28" s="17"/>
      <c r="F28" s="16"/>
      <c r="G28" s="16"/>
      <c r="H28" s="11"/>
      <c r="I28" s="11"/>
      <c r="J28" s="11"/>
      <c r="K28" s="11"/>
      <c r="L28" s="11"/>
      <c r="M28" s="16">
        <f>SUM(M29:M33)</f>
        <v>12</v>
      </c>
      <c r="N28" s="15"/>
    </row>
    <row r="29" spans="1:14" x14ac:dyDescent="0.3">
      <c r="A29" s="66" t="s">
        <v>108</v>
      </c>
      <c r="B29" s="18" t="s">
        <v>6</v>
      </c>
      <c r="C29" s="48" t="str">
        <f>VLOOKUP($A29,PERTANYAAN!$A$18:$E$71,3,0)</f>
        <v>Skill Mengemudi</v>
      </c>
      <c r="D29" s="49">
        <f>VLOOKUP($A29,PERTANYAAN!$A$18:$E$71,5,0)</f>
        <v>0.15</v>
      </c>
      <c r="E29" s="17"/>
      <c r="F29" s="16"/>
      <c r="G29" s="16"/>
      <c r="H29" s="11" t="s">
        <v>16</v>
      </c>
      <c r="I29" s="11"/>
      <c r="J29" s="11"/>
      <c r="K29" s="11"/>
      <c r="L29" s="11"/>
      <c r="M29" s="16">
        <f>IF(H29="V",$D29*H$15,IF(I29="V",$D29*I$15,IF(J29="V",$D29*J$15,IF(K29="V",$D29*K$15,IF(L29="V",$D29*L$15,0)))))*100</f>
        <v>3</v>
      </c>
      <c r="N29" s="15" t="s">
        <v>174</v>
      </c>
    </row>
    <row r="30" spans="1:14" x14ac:dyDescent="0.3">
      <c r="A30" s="66" t="s">
        <v>109</v>
      </c>
      <c r="B30" s="18" t="s">
        <v>6</v>
      </c>
      <c r="C30" s="48" t="str">
        <f>VLOOKUP($A30,PERTANYAAN!$A$18:$E$71,3,0)</f>
        <v>Flow Administrasi Logistik</v>
      </c>
      <c r="D30" s="49">
        <f>VLOOKUP($A30,PERTANYAAN!$A$18:$E$71,5,0)</f>
        <v>0.1</v>
      </c>
      <c r="E30" s="17"/>
      <c r="F30" s="16"/>
      <c r="G30" s="16"/>
      <c r="H30" s="11"/>
      <c r="I30" s="11"/>
      <c r="J30" s="11" t="s">
        <v>16</v>
      </c>
      <c r="K30" s="11"/>
      <c r="L30" s="11"/>
      <c r="M30" s="16">
        <f t="shared" ref="M30:M32" si="1">IF(H30="V",$D30*H$15,IF(I30="V",$D30*I$15,IF(J30="V",$D30*J$15,IF(K30="V",$D30*K$15,IF(L30="V",$D30*L$15,0)))))*100</f>
        <v>6</v>
      </c>
      <c r="N30" s="15"/>
    </row>
    <row r="31" spans="1:14" x14ac:dyDescent="0.3">
      <c r="A31" s="66" t="s">
        <v>110</v>
      </c>
      <c r="B31" s="18" t="s">
        <v>6</v>
      </c>
      <c r="C31" s="48" t="str">
        <f>VLOOKUP($A31,PERTANYAAN!$A$18:$E$71,3,0)</f>
        <v>Pengetahuan terkait logistik</v>
      </c>
      <c r="D31" s="49">
        <f>VLOOKUP($A31,PERTANYAAN!$A$18:$E$71,5,0)</f>
        <v>2.5000000000000001E-2</v>
      </c>
      <c r="E31" s="17"/>
      <c r="F31" s="16"/>
      <c r="G31" s="16"/>
      <c r="H31" s="11"/>
      <c r="I31" s="11"/>
      <c r="J31" s="11" t="s">
        <v>16</v>
      </c>
      <c r="K31" s="11"/>
      <c r="L31" s="11"/>
      <c r="M31" s="16">
        <f t="shared" si="1"/>
        <v>1.5</v>
      </c>
      <c r="N31" s="15"/>
    </row>
    <row r="32" spans="1:14" x14ac:dyDescent="0.3">
      <c r="A32" s="66" t="s">
        <v>111</v>
      </c>
      <c r="B32" s="18" t="s">
        <v>6</v>
      </c>
      <c r="C32" s="48" t="str">
        <f>VLOOKUP($A32,PERTANYAAN!$A$18:$E$71,3,0)</f>
        <v>Pengalaman di Bongkar Muat</v>
      </c>
      <c r="D32" s="49">
        <f>VLOOKUP($A32,PERTANYAAN!$A$18:$E$71,5,0)</f>
        <v>7.4999999999999997E-2</v>
      </c>
      <c r="E32" s="17"/>
      <c r="F32" s="16"/>
      <c r="G32" s="16"/>
      <c r="H32" s="11" t="s">
        <v>16</v>
      </c>
      <c r="I32" s="11"/>
      <c r="J32" s="11"/>
      <c r="K32" s="11"/>
      <c r="L32" s="11"/>
      <c r="M32" s="16">
        <f t="shared" si="1"/>
        <v>1.5</v>
      </c>
      <c r="N32" s="15"/>
    </row>
    <row r="33" spans="1:14" x14ac:dyDescent="0.3">
      <c r="A33" s="1"/>
      <c r="B33" s="18"/>
      <c r="C33" s="15"/>
      <c r="D33" s="17"/>
      <c r="E33" s="17"/>
      <c r="F33" s="16"/>
      <c r="G33" s="16"/>
      <c r="H33" s="11"/>
      <c r="I33" s="11"/>
      <c r="J33" s="11"/>
      <c r="K33" s="11"/>
      <c r="L33" s="11"/>
      <c r="M33" s="16"/>
      <c r="N33" s="15"/>
    </row>
    <row r="34" spans="1:14" hidden="1" outlineLevel="1" x14ac:dyDescent="0.3">
      <c r="A34" s="1"/>
      <c r="B34" s="18">
        <f>B28+1</f>
        <v>2</v>
      </c>
      <c r="C34" s="15" t="s">
        <v>22</v>
      </c>
      <c r="D34" s="17">
        <f>SUM(D35:D37)</f>
        <v>0.35</v>
      </c>
      <c r="E34" s="17"/>
      <c r="F34" s="16"/>
      <c r="G34" s="16"/>
      <c r="H34" s="11"/>
      <c r="I34" s="11"/>
      <c r="J34" s="11"/>
      <c r="K34" s="11"/>
      <c r="L34" s="11"/>
      <c r="M34" s="16"/>
      <c r="N34" s="15"/>
    </row>
    <row r="35" spans="1:14" hidden="1" outlineLevel="1" x14ac:dyDescent="0.3">
      <c r="A35" s="1"/>
      <c r="B35" s="18" t="s">
        <v>6</v>
      </c>
      <c r="C35" s="15" t="s">
        <v>44</v>
      </c>
      <c r="D35" s="17">
        <v>0.15</v>
      </c>
      <c r="E35" s="17"/>
      <c r="F35" s="16"/>
      <c r="G35" s="16"/>
      <c r="H35" s="11"/>
      <c r="I35" s="11"/>
      <c r="J35" s="11"/>
      <c r="K35" s="11"/>
      <c r="L35" s="11"/>
      <c r="M35" s="16"/>
      <c r="N35" s="15"/>
    </row>
    <row r="36" spans="1:14" hidden="1" outlineLevel="1" x14ac:dyDescent="0.3">
      <c r="A36" s="1"/>
      <c r="B36" s="18" t="s">
        <v>6</v>
      </c>
      <c r="C36" s="15" t="s">
        <v>50</v>
      </c>
      <c r="D36" s="17">
        <v>0.2</v>
      </c>
      <c r="E36" s="17"/>
      <c r="F36" s="16"/>
      <c r="G36" s="16"/>
      <c r="H36" s="11"/>
      <c r="I36" s="11"/>
      <c r="J36" s="11"/>
      <c r="K36" s="11"/>
      <c r="L36" s="11"/>
      <c r="M36" s="16"/>
      <c r="N36" s="15"/>
    </row>
    <row r="37" spans="1:14" hidden="1" outlineLevel="1" x14ac:dyDescent="0.3">
      <c r="A37" s="1"/>
      <c r="B37" s="18"/>
      <c r="C37" s="15"/>
      <c r="D37" s="17"/>
      <c r="E37" s="17"/>
      <c r="F37" s="16"/>
      <c r="G37" s="16"/>
      <c r="H37" s="11"/>
      <c r="I37" s="11"/>
      <c r="J37" s="11"/>
      <c r="K37" s="11"/>
      <c r="L37" s="11"/>
      <c r="M37" s="16"/>
      <c r="N37" s="15"/>
    </row>
    <row r="38" spans="1:14" hidden="1" outlineLevel="1" x14ac:dyDescent="0.3">
      <c r="A38" s="1"/>
      <c r="B38" s="14">
        <v>3</v>
      </c>
      <c r="C38" s="15" t="s">
        <v>23</v>
      </c>
      <c r="D38" s="17"/>
      <c r="E38" s="17"/>
      <c r="F38" s="16"/>
      <c r="G38" s="16"/>
      <c r="H38" s="11"/>
      <c r="I38" s="11"/>
      <c r="J38" s="11"/>
      <c r="K38" s="11"/>
      <c r="L38" s="11"/>
      <c r="M38" s="16"/>
      <c r="N38" s="15"/>
    </row>
    <row r="39" spans="1:14" hidden="1" outlineLevel="1" x14ac:dyDescent="0.3">
      <c r="A39" s="1"/>
      <c r="B39" s="18" t="s">
        <v>6</v>
      </c>
      <c r="C39" s="15" t="s">
        <v>52</v>
      </c>
      <c r="D39" s="17"/>
      <c r="E39" s="17"/>
      <c r="F39" s="16"/>
      <c r="G39" s="16"/>
      <c r="H39" s="11"/>
      <c r="I39" s="11"/>
      <c r="J39" s="11"/>
      <c r="K39" s="11"/>
      <c r="L39" s="11"/>
      <c r="M39" s="16"/>
      <c r="N39" s="15"/>
    </row>
    <row r="40" spans="1:14" hidden="1" outlineLevel="1" x14ac:dyDescent="0.3">
      <c r="A40" s="1"/>
      <c r="B40" s="18" t="s">
        <v>6</v>
      </c>
      <c r="C40" s="15" t="s">
        <v>53</v>
      </c>
      <c r="D40" s="17"/>
      <c r="E40" s="17"/>
      <c r="F40" s="16"/>
      <c r="G40" s="16"/>
      <c r="H40" s="11"/>
      <c r="I40" s="11"/>
      <c r="J40" s="11"/>
      <c r="K40" s="11"/>
      <c r="L40" s="11"/>
      <c r="M40" s="16"/>
      <c r="N40" s="15"/>
    </row>
    <row r="41" spans="1:14" hidden="1" outlineLevel="1" x14ac:dyDescent="0.3">
      <c r="A41" s="1"/>
      <c r="B41" s="18" t="s">
        <v>6</v>
      </c>
      <c r="C41" s="15"/>
      <c r="D41" s="17"/>
      <c r="E41" s="17"/>
      <c r="F41" s="16"/>
      <c r="G41" s="16"/>
      <c r="H41" s="11"/>
      <c r="I41" s="11"/>
      <c r="J41" s="11"/>
      <c r="K41" s="11"/>
      <c r="L41" s="11"/>
      <c r="M41" s="16"/>
      <c r="N41" s="15"/>
    </row>
    <row r="42" spans="1:14" hidden="1" outlineLevel="1" x14ac:dyDescent="0.3">
      <c r="A42" s="1"/>
      <c r="B42" s="14"/>
      <c r="C42" s="15"/>
      <c r="D42" s="17"/>
      <c r="E42" s="17"/>
      <c r="F42" s="16"/>
      <c r="G42" s="16"/>
      <c r="H42" s="11"/>
      <c r="I42" s="11"/>
      <c r="J42" s="11"/>
      <c r="K42" s="11"/>
      <c r="L42" s="11"/>
      <c r="M42" s="16"/>
      <c r="N42" s="15"/>
    </row>
    <row r="43" spans="1:14" s="2" customFormat="1" collapsed="1" x14ac:dyDescent="0.3">
      <c r="A43" s="3"/>
      <c r="B43" s="51" t="s">
        <v>97</v>
      </c>
      <c r="C43" s="52" t="s">
        <v>24</v>
      </c>
      <c r="D43" s="54">
        <f>D44</f>
        <v>0.25</v>
      </c>
      <c r="E43" s="54"/>
      <c r="F43" s="57"/>
      <c r="G43" s="57"/>
      <c r="H43" s="62"/>
      <c r="I43" s="62"/>
      <c r="J43" s="62"/>
      <c r="K43" s="62"/>
      <c r="L43" s="62"/>
      <c r="M43" s="57">
        <f>M44</f>
        <v>19</v>
      </c>
      <c r="N43" s="52"/>
    </row>
    <row r="44" spans="1:14" x14ac:dyDescent="0.3">
      <c r="A44" s="1" t="s">
        <v>112</v>
      </c>
      <c r="B44" s="14">
        <v>1</v>
      </c>
      <c r="C44" s="48" t="str">
        <f>VLOOKUP($A44,PERTANYAAN!$A$18:$E$71,3,0)</f>
        <v>Staff</v>
      </c>
      <c r="D44" s="49">
        <f>VLOOKUP($A44,PERTANYAAN!$A$18:$E$71,5,0)</f>
        <v>0.25</v>
      </c>
      <c r="E44" s="17"/>
      <c r="F44" s="16"/>
      <c r="G44" s="16"/>
      <c r="H44" s="11"/>
      <c r="I44" s="11"/>
      <c r="J44" s="11"/>
      <c r="K44" s="11"/>
      <c r="L44" s="11"/>
      <c r="M44" s="16">
        <f>SUM(M45:M48)</f>
        <v>19</v>
      </c>
      <c r="N44" s="15"/>
    </row>
    <row r="45" spans="1:14" x14ac:dyDescent="0.3">
      <c r="A45" s="66" t="s">
        <v>113</v>
      </c>
      <c r="B45" s="18" t="s">
        <v>6</v>
      </c>
      <c r="C45" s="48" t="str">
        <f>VLOOKUP($A45,PERTANYAAN!$A$18:$E$71,3,0)</f>
        <v>Kepemimpinan</v>
      </c>
      <c r="D45" s="49">
        <f>VLOOKUP($A45,PERTANYAAN!$A$18:$E$71,5,0)</f>
        <v>2.5000000000000001E-2</v>
      </c>
      <c r="E45" s="17"/>
      <c r="F45" s="16"/>
      <c r="G45" s="16"/>
      <c r="H45" s="11"/>
      <c r="I45" s="11"/>
      <c r="J45" s="11"/>
      <c r="K45" s="11" t="s">
        <v>16</v>
      </c>
      <c r="L45" s="11"/>
      <c r="M45" s="16">
        <f>IF(H45="V",$D45*H$15,IF(I45="V",$D45*I$15,IF(J45="V",$D45*J$15,IF(K45="V",$D45*K$15,IF(L45="V",$D45*L$15,0)))))*100</f>
        <v>2.0000000000000004</v>
      </c>
      <c r="N45" s="15" t="s">
        <v>175</v>
      </c>
    </row>
    <row r="46" spans="1:14" x14ac:dyDescent="0.3">
      <c r="A46" s="66" t="s">
        <v>114</v>
      </c>
      <c r="B46" s="18" t="s">
        <v>6</v>
      </c>
      <c r="C46" s="48" t="str">
        <f>VLOOKUP($A46,PERTANYAAN!$A$18:$E$71,3,0)</f>
        <v>Komunikasi</v>
      </c>
      <c r="D46" s="49">
        <f>VLOOKUP($A46,PERTANYAAN!$A$18:$E$71,5,0)</f>
        <v>0.1</v>
      </c>
      <c r="E46" s="17"/>
      <c r="F46" s="16"/>
      <c r="G46" s="16"/>
      <c r="H46" s="11"/>
      <c r="I46" s="11"/>
      <c r="J46" s="11"/>
      <c r="K46" s="11" t="s">
        <v>16</v>
      </c>
      <c r="L46" s="11"/>
      <c r="M46" s="16">
        <f>IF(H46="V",$D46*H$15,IF(I46="V",$D46*I$15,IF(J46="V",$D46*J$15,IF(K46="V",$D46*K$15,IF(L46="V",$D46*L$15,0)))))*100</f>
        <v>8.0000000000000018</v>
      </c>
      <c r="N46" s="15"/>
    </row>
    <row r="47" spans="1:14" x14ac:dyDescent="0.3">
      <c r="A47" s="66" t="s">
        <v>115</v>
      </c>
      <c r="B47" s="18" t="s">
        <v>6</v>
      </c>
      <c r="C47" s="48" t="str">
        <f>VLOOKUP($A47,PERTANYAAN!$A$18:$E$71,3,0)</f>
        <v>Patuh pada Peraturan / Commitment</v>
      </c>
      <c r="D47" s="49">
        <f>VLOOKUP($A47,PERTANYAAN!$A$18:$E$71,5,0)</f>
        <v>0.05</v>
      </c>
      <c r="E47" s="17"/>
      <c r="F47" s="16"/>
      <c r="G47" s="16"/>
      <c r="H47" s="11"/>
      <c r="I47" s="11"/>
      <c r="J47" s="11" t="s">
        <v>16</v>
      </c>
      <c r="K47" s="11"/>
      <c r="L47" s="11"/>
      <c r="M47" s="16">
        <f>IF(H47="V",$D47*H$15,IF(I47="V",$D47*I$15,IF(J47="V",$D47*J$15,IF(K47="V",$D47*K$15,IF(L47="V",$D47*L$15,0)))))*100</f>
        <v>3</v>
      </c>
      <c r="N47" s="15" t="s">
        <v>176</v>
      </c>
    </row>
    <row r="48" spans="1:14" x14ac:dyDescent="0.3">
      <c r="A48" s="66" t="s">
        <v>116</v>
      </c>
      <c r="B48" s="18" t="s">
        <v>6</v>
      </c>
      <c r="C48" s="48" t="str">
        <f>VLOOKUP($A48,PERTANYAAN!$A$18:$E$71,3,0)</f>
        <v>Determinasi thd tekanan</v>
      </c>
      <c r="D48" s="49">
        <f>VLOOKUP($A48,PERTANYAAN!$A$18:$E$71,5,0)</f>
        <v>7.4999999999999997E-2</v>
      </c>
      <c r="E48" s="17"/>
      <c r="F48" s="16"/>
      <c r="G48" s="16"/>
      <c r="H48" s="11"/>
      <c r="I48" s="11"/>
      <c r="J48" s="11"/>
      <c r="K48" s="11" t="s">
        <v>16</v>
      </c>
      <c r="L48" s="11"/>
      <c r="M48" s="16">
        <f>IF(H48="V",$D48*H$15,IF(I48="V",$D48*I$15,IF(J48="V",$D48*J$15,IF(K48="V",$D48*K$15,IF(L48="V",$D48*L$15,0)))))*100</f>
        <v>6</v>
      </c>
      <c r="N48" s="15"/>
    </row>
    <row r="49" spans="1:14" x14ac:dyDescent="0.3">
      <c r="A49" s="1"/>
      <c r="B49" s="18"/>
      <c r="C49" s="15"/>
      <c r="D49" s="17"/>
      <c r="E49" s="17"/>
      <c r="F49" s="16"/>
      <c r="G49" s="16"/>
      <c r="H49" s="11"/>
      <c r="I49" s="11"/>
      <c r="J49" s="11"/>
      <c r="K49" s="11"/>
      <c r="L49" s="11"/>
      <c r="M49" s="16"/>
      <c r="N49" s="15"/>
    </row>
    <row r="50" spans="1:14" hidden="1" outlineLevel="1" x14ac:dyDescent="0.3">
      <c r="A50" s="1"/>
      <c r="B50" s="14">
        <v>2</v>
      </c>
      <c r="C50" s="15" t="s">
        <v>26</v>
      </c>
      <c r="D50" s="17"/>
      <c r="E50" s="17"/>
      <c r="F50" s="16"/>
      <c r="G50" s="16"/>
      <c r="H50" s="11"/>
      <c r="I50" s="11"/>
      <c r="J50" s="11"/>
      <c r="K50" s="11"/>
      <c r="L50" s="11"/>
      <c r="M50" s="16"/>
      <c r="N50" s="15"/>
    </row>
    <row r="51" spans="1:14" hidden="1" outlineLevel="1" x14ac:dyDescent="0.3">
      <c r="A51" s="1"/>
      <c r="B51" s="18" t="s">
        <v>6</v>
      </c>
      <c r="C51" s="15" t="s">
        <v>54</v>
      </c>
      <c r="D51" s="17"/>
      <c r="E51" s="17"/>
      <c r="F51" s="16"/>
      <c r="G51" s="16"/>
      <c r="H51" s="11"/>
      <c r="I51" s="11"/>
      <c r="J51" s="11"/>
      <c r="K51" s="11"/>
      <c r="L51" s="11"/>
      <c r="M51" s="16"/>
      <c r="N51" s="15"/>
    </row>
    <row r="52" spans="1:14" hidden="1" outlineLevel="1" x14ac:dyDescent="0.3">
      <c r="A52" s="1"/>
      <c r="B52" s="18" t="s">
        <v>6</v>
      </c>
      <c r="C52" s="15" t="s">
        <v>55</v>
      </c>
      <c r="D52" s="17"/>
      <c r="E52" s="17"/>
      <c r="F52" s="16"/>
      <c r="G52" s="16"/>
      <c r="H52" s="11"/>
      <c r="I52" s="11"/>
      <c r="J52" s="11"/>
      <c r="K52" s="11"/>
      <c r="L52" s="11"/>
      <c r="M52" s="16"/>
      <c r="N52" s="15"/>
    </row>
    <row r="53" spans="1:14" hidden="1" outlineLevel="1" x14ac:dyDescent="0.3">
      <c r="A53" s="1"/>
      <c r="B53" s="18" t="s">
        <v>6</v>
      </c>
      <c r="C53" s="15" t="s">
        <v>56</v>
      </c>
      <c r="D53" s="17"/>
      <c r="E53" s="17"/>
      <c r="F53" s="16"/>
      <c r="G53" s="16"/>
      <c r="H53" s="11"/>
      <c r="I53" s="11"/>
      <c r="J53" s="11"/>
      <c r="K53" s="11"/>
      <c r="L53" s="11"/>
      <c r="M53" s="16"/>
      <c r="N53" s="15"/>
    </row>
    <row r="54" spans="1:14" hidden="1" outlineLevel="1" x14ac:dyDescent="0.3">
      <c r="A54" s="1"/>
      <c r="B54" s="18"/>
      <c r="C54" s="15"/>
      <c r="D54" s="17"/>
      <c r="E54" s="17"/>
      <c r="F54" s="16"/>
      <c r="G54" s="16"/>
      <c r="H54" s="11"/>
      <c r="I54" s="11"/>
      <c r="J54" s="11"/>
      <c r="K54" s="11"/>
      <c r="L54" s="11"/>
      <c r="M54" s="16"/>
      <c r="N54" s="15"/>
    </row>
    <row r="55" spans="1:14" hidden="1" outlineLevel="1" x14ac:dyDescent="0.3">
      <c r="A55" s="1"/>
      <c r="B55" s="14">
        <v>3</v>
      </c>
      <c r="C55" s="15" t="s">
        <v>27</v>
      </c>
      <c r="D55" s="17"/>
      <c r="E55" s="17"/>
      <c r="F55" s="16"/>
      <c r="G55" s="16"/>
      <c r="H55" s="11"/>
      <c r="I55" s="11"/>
      <c r="J55" s="11"/>
      <c r="K55" s="11"/>
      <c r="L55" s="11"/>
      <c r="M55" s="16"/>
      <c r="N55" s="15"/>
    </row>
    <row r="56" spans="1:14" hidden="1" outlineLevel="1" x14ac:dyDescent="0.3">
      <c r="A56" s="1"/>
      <c r="B56" s="18" t="s">
        <v>6</v>
      </c>
      <c r="C56" s="15" t="s">
        <v>54</v>
      </c>
      <c r="D56" s="17"/>
      <c r="E56" s="17"/>
      <c r="F56" s="16"/>
      <c r="G56" s="16"/>
      <c r="H56" s="11"/>
      <c r="I56" s="11"/>
      <c r="J56" s="11"/>
      <c r="K56" s="11"/>
      <c r="L56" s="11"/>
      <c r="M56" s="16"/>
      <c r="N56" s="15"/>
    </row>
    <row r="57" spans="1:14" hidden="1" outlineLevel="1" x14ac:dyDescent="0.3">
      <c r="A57" s="1"/>
      <c r="B57" s="18" t="s">
        <v>6</v>
      </c>
      <c r="C57" s="15" t="s">
        <v>56</v>
      </c>
      <c r="D57" s="17"/>
      <c r="E57" s="17"/>
      <c r="F57" s="16"/>
      <c r="G57" s="16"/>
      <c r="H57" s="11"/>
      <c r="I57" s="11"/>
      <c r="J57" s="11"/>
      <c r="K57" s="11"/>
      <c r="L57" s="11"/>
      <c r="M57" s="16"/>
      <c r="N57" s="15"/>
    </row>
    <row r="58" spans="1:14" hidden="1" outlineLevel="1" x14ac:dyDescent="0.3">
      <c r="A58" s="1"/>
      <c r="B58" s="18" t="s">
        <v>6</v>
      </c>
      <c r="C58" s="15" t="s">
        <v>57</v>
      </c>
      <c r="D58" s="17"/>
      <c r="E58" s="17"/>
      <c r="F58" s="16"/>
      <c r="G58" s="16"/>
      <c r="H58" s="11"/>
      <c r="I58" s="11"/>
      <c r="J58" s="11"/>
      <c r="K58" s="11"/>
      <c r="L58" s="11"/>
      <c r="M58" s="16"/>
      <c r="N58" s="15"/>
    </row>
    <row r="59" spans="1:14" hidden="1" outlineLevel="1" x14ac:dyDescent="0.3">
      <c r="A59" s="1"/>
      <c r="B59" s="14"/>
      <c r="C59" s="15"/>
      <c r="D59" s="17"/>
      <c r="E59" s="17"/>
      <c r="F59" s="16"/>
      <c r="G59" s="16"/>
      <c r="H59" s="11"/>
      <c r="I59" s="11"/>
      <c r="J59" s="11"/>
      <c r="K59" s="11"/>
      <c r="L59" s="11"/>
      <c r="M59" s="16"/>
      <c r="N59" s="15"/>
    </row>
    <row r="60" spans="1:14" s="2" customFormat="1" collapsed="1" x14ac:dyDescent="0.3">
      <c r="A60" s="3"/>
      <c r="B60" s="51" t="s">
        <v>98</v>
      </c>
      <c r="C60" s="52" t="s">
        <v>46</v>
      </c>
      <c r="D60" s="54">
        <f>SUM(D61:D64)</f>
        <v>0.15</v>
      </c>
      <c r="E60" s="54"/>
      <c r="F60" s="57"/>
      <c r="G60" s="57"/>
      <c r="H60" s="62"/>
      <c r="I60" s="62"/>
      <c r="J60" s="62"/>
      <c r="K60" s="62"/>
      <c r="L60" s="62"/>
      <c r="M60" s="57">
        <f>SUM(M61:M64)</f>
        <v>11</v>
      </c>
      <c r="N60" s="52"/>
    </row>
    <row r="61" spans="1:14" x14ac:dyDescent="0.3">
      <c r="A61" s="66" t="s">
        <v>117</v>
      </c>
      <c r="B61" s="18" t="s">
        <v>6</v>
      </c>
      <c r="C61" s="48" t="str">
        <f>VLOOKUP($A61,PERTANYAAN!$A$18:$E$71,3,0)</f>
        <v>Antusiasme / Keinginan bergabung</v>
      </c>
      <c r="D61" s="49">
        <f>VLOOKUP($A61,PERTANYAAN!$A$18:$E$71,5,0)</f>
        <v>7.4999999999999997E-2</v>
      </c>
      <c r="E61" s="17"/>
      <c r="F61" s="16"/>
      <c r="G61" s="16"/>
      <c r="H61" s="11"/>
      <c r="I61" s="11"/>
      <c r="J61" s="11"/>
      <c r="K61" s="11" t="s">
        <v>16</v>
      </c>
      <c r="L61" s="11"/>
      <c r="M61" s="16">
        <f t="shared" ref="M61:M63" si="2">IF(H61="V",$D61*H$15,IF(I61="V",$D61*I$15,IF(J61="V",$D61*J$15,IF(K61="V",$D61*K$15,IF(L61="V",$D61*L$15,0)))))*100</f>
        <v>6</v>
      </c>
      <c r="N61" s="15"/>
    </row>
    <row r="62" spans="1:14" x14ac:dyDescent="0.3">
      <c r="A62" s="66" t="s">
        <v>118</v>
      </c>
      <c r="B62" s="18" t="s">
        <v>6</v>
      </c>
      <c r="C62" s="48" t="str">
        <f>VLOOKUP($A62,PERTANYAAN!$A$18:$E$71,3,0)</f>
        <v>Inisiatif</v>
      </c>
      <c r="D62" s="49">
        <f>VLOOKUP($A62,PERTANYAAN!$A$18:$E$71,5,0)</f>
        <v>0.05</v>
      </c>
      <c r="E62" s="17"/>
      <c r="F62" s="16"/>
      <c r="G62" s="16"/>
      <c r="H62" s="11"/>
      <c r="I62" s="11"/>
      <c r="J62" s="11" t="s">
        <v>16</v>
      </c>
      <c r="K62" s="11"/>
      <c r="L62" s="11"/>
      <c r="M62" s="16">
        <f t="shared" si="2"/>
        <v>3</v>
      </c>
      <c r="N62" s="15"/>
    </row>
    <row r="63" spans="1:14" x14ac:dyDescent="0.3">
      <c r="A63" s="66" t="s">
        <v>119</v>
      </c>
      <c r="B63" s="18" t="s">
        <v>6</v>
      </c>
      <c r="C63" s="48" t="str">
        <f>VLOOKUP($A63,PERTANYAAN!$A$18:$E$71,3,0)</f>
        <v>Adaptif</v>
      </c>
      <c r="D63" s="49">
        <f>VLOOKUP($A63,PERTANYAAN!$A$18:$E$71,5,0)</f>
        <v>2.5000000000000001E-2</v>
      </c>
      <c r="E63" s="17"/>
      <c r="F63" s="16"/>
      <c r="G63" s="16"/>
      <c r="H63" s="11"/>
      <c r="I63" s="11"/>
      <c r="J63" s="11"/>
      <c r="K63" s="11" t="s">
        <v>16</v>
      </c>
      <c r="L63" s="11"/>
      <c r="M63" s="16">
        <f t="shared" si="2"/>
        <v>2.0000000000000004</v>
      </c>
      <c r="N63" s="15"/>
    </row>
    <row r="64" spans="1:14" x14ac:dyDescent="0.3">
      <c r="A64" s="1"/>
      <c r="B64" s="14"/>
      <c r="C64" s="15"/>
      <c r="D64" s="17"/>
      <c r="E64" s="17"/>
      <c r="F64" s="16"/>
      <c r="G64" s="16"/>
      <c r="H64" s="11"/>
      <c r="I64" s="11"/>
      <c r="J64" s="11"/>
      <c r="K64" s="11"/>
      <c r="L64" s="11"/>
      <c r="M64" s="16"/>
      <c r="N64" s="15"/>
    </row>
    <row r="65" spans="1:14" s="2" customFormat="1" x14ac:dyDescent="0.3">
      <c r="A65" s="3"/>
      <c r="B65" s="51" t="s">
        <v>99</v>
      </c>
      <c r="C65" s="52" t="s">
        <v>48</v>
      </c>
      <c r="D65" s="54">
        <f>SUM(D66:D68)</f>
        <v>0.05</v>
      </c>
      <c r="E65" s="54"/>
      <c r="F65" s="57"/>
      <c r="G65" s="57"/>
      <c r="H65" s="62"/>
      <c r="I65" s="62"/>
      <c r="J65" s="62"/>
      <c r="K65" s="62"/>
      <c r="L65" s="62"/>
      <c r="M65" s="57">
        <f>SUM(M66:M68)</f>
        <v>3.2</v>
      </c>
      <c r="N65" s="52"/>
    </row>
    <row r="66" spans="1:14" x14ac:dyDescent="0.3">
      <c r="A66" s="66" t="s">
        <v>120</v>
      </c>
      <c r="B66" s="18" t="s">
        <v>6</v>
      </c>
      <c r="C66" s="48" t="str">
        <f>VLOOKUP($A66,PERTANYAAN!$A$18:$E$71,3,0)</f>
        <v>Ekspektasi Salary (Mengukur Budget &amp; Skill)</v>
      </c>
      <c r="D66" s="49">
        <f>VLOOKUP($A66,PERTANYAAN!$A$18:$E$71,5,0)</f>
        <v>0.04</v>
      </c>
      <c r="E66" s="17"/>
      <c r="F66" s="16"/>
      <c r="G66" s="16"/>
      <c r="H66" s="11"/>
      <c r="I66" s="11"/>
      <c r="J66" s="11" t="s">
        <v>16</v>
      </c>
      <c r="K66" s="11"/>
      <c r="L66" s="11"/>
      <c r="M66" s="16">
        <f t="shared" ref="M66:M67" si="3">IF(H66="V",$D66*H$15,IF(I66="V",$D66*I$15,IF(J66="V",$D66*J$15,IF(K66="V",$D66*K$15,IF(L66="V",$D66*L$15,0)))))*100</f>
        <v>2.4</v>
      </c>
      <c r="N66" s="15"/>
    </row>
    <row r="67" spans="1:14" x14ac:dyDescent="0.3">
      <c r="A67" s="66" t="s">
        <v>121</v>
      </c>
      <c r="B67" s="18" t="s">
        <v>6</v>
      </c>
      <c r="C67" s="48" t="str">
        <f>VLOOKUP($A67,PERTANYAAN!$A$18:$E$71,3,0)</f>
        <v>Tujuan Karir</v>
      </c>
      <c r="D67" s="49">
        <f>VLOOKUP($A67,PERTANYAAN!$A$18:$E$71,5,0)</f>
        <v>0.01</v>
      </c>
      <c r="E67" s="17"/>
      <c r="F67" s="16"/>
      <c r="G67" s="16"/>
      <c r="H67" s="11"/>
      <c r="I67" s="11"/>
      <c r="J67" s="11"/>
      <c r="K67" s="11" t="s">
        <v>16</v>
      </c>
      <c r="L67" s="11"/>
      <c r="M67" s="16">
        <f t="shared" si="3"/>
        <v>0.8</v>
      </c>
      <c r="N67" s="15" t="s">
        <v>177</v>
      </c>
    </row>
    <row r="68" spans="1:14" x14ac:dyDescent="0.3">
      <c r="A68" s="66"/>
      <c r="B68" s="14"/>
      <c r="C68" s="15"/>
      <c r="D68" s="17"/>
      <c r="E68" s="17"/>
      <c r="F68" s="16"/>
      <c r="G68" s="16"/>
      <c r="H68" s="11"/>
      <c r="I68" s="11"/>
      <c r="J68" s="11"/>
      <c r="K68" s="11"/>
      <c r="L68" s="11"/>
      <c r="M68" s="16"/>
      <c r="N68" s="15"/>
    </row>
    <row r="69" spans="1:14" s="2" customFormat="1" x14ac:dyDescent="0.3">
      <c r="A69" s="3"/>
      <c r="B69" s="51" t="s">
        <v>100</v>
      </c>
      <c r="C69" s="52" t="s">
        <v>134</v>
      </c>
      <c r="D69" s="54">
        <f>SUM(D70:D70)</f>
        <v>0.05</v>
      </c>
      <c r="E69" s="54"/>
      <c r="F69" s="57"/>
      <c r="G69" s="57"/>
      <c r="H69" s="62"/>
      <c r="I69" s="62"/>
      <c r="J69" s="62"/>
      <c r="K69" s="62"/>
      <c r="L69" s="62"/>
      <c r="M69" s="57">
        <f>SUM(M70)</f>
        <v>0</v>
      </c>
      <c r="N69" s="52"/>
    </row>
    <row r="70" spans="1:14" x14ac:dyDescent="0.3">
      <c r="A70" s="66" t="s">
        <v>122</v>
      </c>
      <c r="B70" s="18" t="s">
        <v>6</v>
      </c>
      <c r="C70" s="48" t="str">
        <f>VLOOKUP($A70,PERTANYAAN!$A$18:$E$71,3,0)</f>
        <v>Pertanyaan Spesifik User</v>
      </c>
      <c r="D70" s="49">
        <f>VLOOKUP($A70,PERTANYAAN!$A$18:$E$71,5,0)</f>
        <v>0.05</v>
      </c>
      <c r="E70" s="17"/>
      <c r="F70" s="16"/>
      <c r="G70" s="16"/>
      <c r="H70" s="11"/>
      <c r="I70" s="11"/>
      <c r="J70" s="11"/>
      <c r="K70" s="11"/>
      <c r="L70" s="11"/>
      <c r="M70" s="16">
        <f t="shared" ref="M70" si="4">IF(H70="V",$D70*H$15,IF(I70="V",$D70*I$15,IF(J70="V",$D70*J$15,IF(K70="V",$D70*K$15,IF(L70="V",$D70*L$15,0)))))*100</f>
        <v>0</v>
      </c>
      <c r="N70" s="15"/>
    </row>
    <row r="71" spans="1:14" x14ac:dyDescent="0.3">
      <c r="B71" s="19"/>
      <c r="C71" s="20"/>
      <c r="D71" s="22"/>
      <c r="E71" s="22"/>
      <c r="F71" s="21"/>
      <c r="G71" s="21"/>
      <c r="H71" s="23"/>
      <c r="I71" s="23"/>
      <c r="J71" s="23"/>
      <c r="K71" s="23"/>
      <c r="L71" s="23"/>
      <c r="M71" s="21"/>
      <c r="N71" s="20"/>
    </row>
    <row r="73" spans="1:14" x14ac:dyDescent="0.3">
      <c r="B73" s="1" t="s">
        <v>6</v>
      </c>
      <c r="C73" t="s">
        <v>165</v>
      </c>
      <c r="N73" t="s">
        <v>182</v>
      </c>
    </row>
    <row r="75" spans="1:14" x14ac:dyDescent="0.3">
      <c r="C75" s="2" t="s">
        <v>159</v>
      </c>
    </row>
    <row r="76" spans="1:14" ht="14.4" customHeight="1" x14ac:dyDescent="0.3">
      <c r="C76" s="87" t="s">
        <v>160</v>
      </c>
      <c r="D76" s="87"/>
      <c r="F76" s="88"/>
      <c r="G76" s="88"/>
      <c r="H76" s="88"/>
      <c r="I76" s="88"/>
      <c r="J76" s="88"/>
      <c r="K76" s="88"/>
      <c r="L76" s="88"/>
      <c r="M76" s="88"/>
      <c r="N76" s="87" t="s">
        <v>178</v>
      </c>
    </row>
    <row r="77" spans="1:14" x14ac:dyDescent="0.3">
      <c r="C77" s="87"/>
      <c r="D77" s="87"/>
      <c r="F77" s="88"/>
      <c r="G77" s="88"/>
      <c r="H77" s="88"/>
      <c r="I77" s="88"/>
      <c r="J77" s="88"/>
      <c r="K77" s="88"/>
      <c r="L77" s="88"/>
      <c r="M77" s="88"/>
      <c r="N77" s="87"/>
    </row>
    <row r="80" spans="1:14" x14ac:dyDescent="0.3">
      <c r="C80" s="2" t="s">
        <v>161</v>
      </c>
    </row>
    <row r="81" spans="3:14" x14ac:dyDescent="0.3">
      <c r="C81" t="s">
        <v>162</v>
      </c>
      <c r="N81" t="s">
        <v>163</v>
      </c>
    </row>
    <row r="82" spans="3:14" x14ac:dyDescent="0.3">
      <c r="M82" s="89">
        <v>1</v>
      </c>
      <c r="N82" t="s">
        <v>180</v>
      </c>
    </row>
    <row r="83" spans="3:14" x14ac:dyDescent="0.3">
      <c r="M83" s="89">
        <v>2</v>
      </c>
      <c r="N83" t="s">
        <v>181</v>
      </c>
    </row>
    <row r="84" spans="3:14" x14ac:dyDescent="0.3">
      <c r="M84" s="89"/>
    </row>
    <row r="85" spans="3:14" x14ac:dyDescent="0.3">
      <c r="M85" s="89"/>
      <c r="N85" t="s">
        <v>164</v>
      </c>
    </row>
    <row r="86" spans="3:14" x14ac:dyDescent="0.3">
      <c r="M86" s="89">
        <v>1</v>
      </c>
      <c r="N86" t="s">
        <v>171</v>
      </c>
    </row>
    <row r="87" spans="3:14" x14ac:dyDescent="0.3">
      <c r="M87" s="89">
        <v>2</v>
      </c>
      <c r="N87" t="s">
        <v>179</v>
      </c>
    </row>
    <row r="90" spans="3:14" x14ac:dyDescent="0.3">
      <c r="H90" s="26" t="s">
        <v>61</v>
      </c>
    </row>
    <row r="91" spans="3:14" x14ac:dyDescent="0.3">
      <c r="H91" s="7" t="s">
        <v>39</v>
      </c>
      <c r="I91" s="7" t="s">
        <v>29</v>
      </c>
      <c r="J91" s="25" t="s">
        <v>69</v>
      </c>
    </row>
    <row r="92" spans="3:14" x14ac:dyDescent="0.3">
      <c r="H92" s="7" t="s">
        <v>40</v>
      </c>
      <c r="I92" s="7" t="s">
        <v>29</v>
      </c>
      <c r="J92" s="25" t="s">
        <v>70</v>
      </c>
    </row>
    <row r="93" spans="3:14" x14ac:dyDescent="0.3">
      <c r="H93" s="7" t="s">
        <v>41</v>
      </c>
      <c r="I93" s="7" t="s">
        <v>29</v>
      </c>
      <c r="J93" s="25" t="s">
        <v>71</v>
      </c>
    </row>
    <row r="94" spans="3:14" x14ac:dyDescent="0.3">
      <c r="H94" s="7" t="s">
        <v>42</v>
      </c>
      <c r="I94" s="7" t="s">
        <v>29</v>
      </c>
      <c r="J94" s="25" t="s">
        <v>72</v>
      </c>
    </row>
    <row r="95" spans="3:14" x14ac:dyDescent="0.3">
      <c r="H95" s="7" t="s">
        <v>43</v>
      </c>
      <c r="I95" s="7" t="s">
        <v>29</v>
      </c>
      <c r="J95" s="25" t="s">
        <v>73</v>
      </c>
    </row>
  </sheetData>
  <mergeCells count="10">
    <mergeCell ref="N76:N77"/>
    <mergeCell ref="C76:D77"/>
    <mergeCell ref="M13:M14"/>
    <mergeCell ref="N13:N14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ED5E7-4578-4BC5-AF5B-098515A1C1D5}">
  <sheetPr>
    <tabColor rgb="FF92D050"/>
  </sheetPr>
  <dimension ref="A1:N92"/>
  <sheetViews>
    <sheetView tabSelected="1" zoomScaleNormal="100" workbookViewId="0">
      <pane xSplit="1" ySplit="14" topLeftCell="B30" activePane="bottomRight" state="frozen"/>
      <selection activeCell="M16" sqref="M16"/>
      <selection pane="topRight" activeCell="M16" sqref="M16"/>
      <selection pane="bottomLeft" activeCell="M16" sqref="M16"/>
      <selection pane="bottomRight" activeCell="L74" sqref="L74"/>
    </sheetView>
  </sheetViews>
  <sheetFormatPr defaultColWidth="8.88671875" defaultRowHeight="14.4" outlineLevelRow="1" x14ac:dyDescent="0.3"/>
  <cols>
    <col min="1" max="1" width="17.6640625" customWidth="1"/>
    <col min="2" max="2" width="4.33203125" style="1" bestFit="1" customWidth="1"/>
    <col min="3" max="3" width="40.109375" bestFit="1" customWidth="1"/>
    <col min="4" max="4" width="8.88671875" style="5"/>
    <col min="5" max="5" width="1.6640625" style="5" customWidth="1"/>
    <col min="6" max="7" width="8.88671875" style="4"/>
    <col min="8" max="12" width="8.88671875" style="7"/>
    <col min="13" max="13" width="8.88671875" style="4"/>
    <col min="14" max="14" width="35.33203125" bestFit="1" customWidth="1"/>
  </cols>
  <sheetData>
    <row r="1" spans="1:14" x14ac:dyDescent="0.3">
      <c r="A1" s="2" t="s">
        <v>124</v>
      </c>
    </row>
    <row r="2" spans="1:14" x14ac:dyDescent="0.3">
      <c r="A2" s="2" t="s">
        <v>0</v>
      </c>
    </row>
    <row r="5" spans="1:14" x14ac:dyDescent="0.3">
      <c r="A5" s="2" t="s">
        <v>1</v>
      </c>
      <c r="B5" s="1" t="s">
        <v>29</v>
      </c>
      <c r="C5" s="2" t="s">
        <v>168</v>
      </c>
    </row>
    <row r="6" spans="1:14" x14ac:dyDescent="0.3">
      <c r="A6" s="2" t="s">
        <v>20</v>
      </c>
      <c r="B6" s="1" t="s">
        <v>29</v>
      </c>
      <c r="C6" t="s">
        <v>31</v>
      </c>
    </row>
    <row r="7" spans="1:14" x14ac:dyDescent="0.3">
      <c r="A7" s="2" t="s">
        <v>32</v>
      </c>
      <c r="B7" s="1" t="s">
        <v>29</v>
      </c>
      <c r="C7" t="s">
        <v>152</v>
      </c>
    </row>
    <row r="8" spans="1:14" x14ac:dyDescent="0.3">
      <c r="A8" s="2" t="s">
        <v>34</v>
      </c>
      <c r="B8" s="1" t="s">
        <v>29</v>
      </c>
      <c r="C8" t="s">
        <v>35</v>
      </c>
    </row>
    <row r="9" spans="1:14" x14ac:dyDescent="0.3">
      <c r="A9" s="2" t="s">
        <v>28</v>
      </c>
      <c r="B9" s="1" t="s">
        <v>29</v>
      </c>
      <c r="C9" s="83">
        <v>3000000</v>
      </c>
    </row>
    <row r="10" spans="1:14" x14ac:dyDescent="0.3">
      <c r="A10" s="2" t="s">
        <v>38</v>
      </c>
      <c r="B10" s="1" t="s">
        <v>29</v>
      </c>
      <c r="C10" s="2" t="s">
        <v>153</v>
      </c>
      <c r="D10" s="6" t="s">
        <v>91</v>
      </c>
    </row>
    <row r="11" spans="1:14" x14ac:dyDescent="0.3">
      <c r="A11" s="2" t="s">
        <v>67</v>
      </c>
      <c r="B11" s="1" t="s">
        <v>29</v>
      </c>
      <c r="C11" s="24">
        <f>M16</f>
        <v>57.5</v>
      </c>
    </row>
    <row r="13" spans="1:14" s="2" customFormat="1" x14ac:dyDescent="0.3">
      <c r="A13" s="73" t="s">
        <v>123</v>
      </c>
      <c r="B13" s="74" t="s">
        <v>2</v>
      </c>
      <c r="C13" s="74" t="s">
        <v>3</v>
      </c>
      <c r="D13" s="76" t="s">
        <v>19</v>
      </c>
      <c r="E13" s="43"/>
      <c r="F13" s="78" t="s">
        <v>18</v>
      </c>
      <c r="G13" s="78"/>
      <c r="H13" s="74" t="s">
        <v>37</v>
      </c>
      <c r="I13" s="74"/>
      <c r="J13" s="74"/>
      <c r="K13" s="74"/>
      <c r="L13" s="74"/>
      <c r="M13" s="78" t="s">
        <v>17</v>
      </c>
      <c r="N13" s="68" t="s">
        <v>61</v>
      </c>
    </row>
    <row r="14" spans="1:14" s="2" customFormat="1" x14ac:dyDescent="0.3">
      <c r="A14" s="73"/>
      <c r="B14" s="74"/>
      <c r="C14" s="75"/>
      <c r="D14" s="77"/>
      <c r="E14" s="45"/>
      <c r="F14" s="44" t="s">
        <v>14</v>
      </c>
      <c r="G14" s="44" t="s">
        <v>15</v>
      </c>
      <c r="H14" s="42" t="s">
        <v>39</v>
      </c>
      <c r="I14" s="42" t="s">
        <v>40</v>
      </c>
      <c r="J14" s="42" t="s">
        <v>41</v>
      </c>
      <c r="K14" s="42" t="s">
        <v>42</v>
      </c>
      <c r="L14" s="42" t="s">
        <v>43</v>
      </c>
      <c r="M14" s="78"/>
      <c r="N14" s="68"/>
    </row>
    <row r="15" spans="1:14" s="2" customFormat="1" x14ac:dyDescent="0.3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3">
      <c r="A16" s="3"/>
      <c r="B16" s="40"/>
      <c r="C16" s="67" t="s">
        <v>65</v>
      </c>
      <c r="D16" s="40"/>
      <c r="E16" s="40"/>
      <c r="F16" s="64"/>
      <c r="G16" s="64"/>
      <c r="H16" s="40"/>
      <c r="I16" s="40"/>
      <c r="J16" s="40"/>
      <c r="K16" s="40"/>
      <c r="L16" s="40"/>
      <c r="M16" s="41">
        <f>M17+M21+M27+M43+M60+M65+M69</f>
        <v>57.5</v>
      </c>
      <c r="N16" s="36"/>
    </row>
    <row r="17" spans="1:14" x14ac:dyDescent="0.3">
      <c r="B17" s="51" t="s">
        <v>66</v>
      </c>
      <c r="C17" s="52" t="s">
        <v>8</v>
      </c>
      <c r="D17" s="54">
        <f>SUM(D18:D19)</f>
        <v>0.1</v>
      </c>
      <c r="E17" s="54"/>
      <c r="F17" s="57"/>
      <c r="G17" s="57"/>
      <c r="H17" s="56"/>
      <c r="I17" s="56"/>
      <c r="J17" s="56"/>
      <c r="K17" s="56"/>
      <c r="L17" s="56"/>
      <c r="M17" s="57">
        <f>SUM(M18:M20)</f>
        <v>6</v>
      </c>
      <c r="N17" s="58"/>
    </row>
    <row r="18" spans="1:14" x14ac:dyDescent="0.3">
      <c r="A18" s="66" t="s">
        <v>101</v>
      </c>
      <c r="B18" s="18">
        <v>1</v>
      </c>
      <c r="C18" s="48" t="str">
        <f>VLOOKUP($A18,PERTANYAAN!$A$18:$E$71,3,0)</f>
        <v>Pengalaman di dalam Daniswara Group</v>
      </c>
      <c r="D18" s="49">
        <f>VLOOKUP($A18,PERTANYAAN!$A$18:$E$71,5,0)</f>
        <v>0.06</v>
      </c>
      <c r="E18" s="17"/>
      <c r="F18" s="16" t="s">
        <v>16</v>
      </c>
      <c r="G18" s="16"/>
      <c r="H18" s="11"/>
      <c r="I18" s="11"/>
      <c r="J18" s="11"/>
      <c r="K18" s="11"/>
      <c r="L18" s="11"/>
      <c r="M18" s="16">
        <f>IF(F18="V",D18*100,0)</f>
        <v>6</v>
      </c>
      <c r="N18" s="15"/>
    </row>
    <row r="19" spans="1:14" x14ac:dyDescent="0.3">
      <c r="A19" s="66" t="s">
        <v>102</v>
      </c>
      <c r="B19" s="18">
        <f>B18+1</f>
        <v>2</v>
      </c>
      <c r="C19" s="48" t="str">
        <f>VLOOKUP($A19,PERTANYAAN!$A$18:$E$71,3,0)</f>
        <v>Pengalaman di luar Daniswara Group</v>
      </c>
      <c r="D19" s="49">
        <f>VLOOKUP($A19,PERTANYAAN!$A$18:$E$71,5,0)</f>
        <v>0.04</v>
      </c>
      <c r="E19" s="17"/>
      <c r="F19" s="16"/>
      <c r="G19" s="16" t="s">
        <v>16</v>
      </c>
      <c r="H19" s="11"/>
      <c r="I19" s="11"/>
      <c r="J19" s="11"/>
      <c r="K19" s="11"/>
      <c r="L19" s="11"/>
      <c r="M19" s="16">
        <f>IF(F19="V",D19*100,0)</f>
        <v>0</v>
      </c>
      <c r="N19" s="15"/>
    </row>
    <row r="20" spans="1:14" x14ac:dyDescent="0.3">
      <c r="A20" s="1"/>
      <c r="B20" s="14"/>
      <c r="C20" s="15"/>
      <c r="D20" s="17"/>
      <c r="E20" s="17"/>
      <c r="F20" s="16"/>
      <c r="G20" s="16"/>
      <c r="H20" s="11"/>
      <c r="I20" s="11"/>
      <c r="J20" s="11"/>
      <c r="K20" s="11"/>
      <c r="L20" s="11"/>
      <c r="M20" s="16"/>
      <c r="N20" s="15"/>
    </row>
    <row r="21" spans="1:14" x14ac:dyDescent="0.3">
      <c r="A21" s="1"/>
      <c r="B21" s="51" t="s">
        <v>42</v>
      </c>
      <c r="C21" s="52" t="s">
        <v>9</v>
      </c>
      <c r="D21" s="54">
        <f>SUM(D22:D25)</f>
        <v>0.05</v>
      </c>
      <c r="E21" s="54"/>
      <c r="F21" s="57"/>
      <c r="G21" s="57"/>
      <c r="H21" s="56"/>
      <c r="I21" s="56"/>
      <c r="J21" s="56"/>
      <c r="K21" s="56"/>
      <c r="L21" s="56"/>
      <c r="M21" s="57">
        <f>SUM(M22:M25)</f>
        <v>2</v>
      </c>
      <c r="N21" s="58"/>
    </row>
    <row r="22" spans="1:14" x14ac:dyDescent="0.3">
      <c r="A22" s="66" t="s">
        <v>103</v>
      </c>
      <c r="B22" s="18">
        <v>1</v>
      </c>
      <c r="C22" s="48" t="str">
        <f>VLOOKUP($A22,PERTANYAAN!$A$18:$E$71,3,0)</f>
        <v>Identitas (KTP &amp; KK)</v>
      </c>
      <c r="D22" s="49">
        <f>VLOOKUP($A22,PERTANYAAN!$A$18:$E$71,5,0)</f>
        <v>0.01</v>
      </c>
      <c r="E22" s="17"/>
      <c r="F22" s="16" t="s">
        <v>16</v>
      </c>
      <c r="G22" s="16"/>
      <c r="H22" s="11"/>
      <c r="I22" s="11"/>
      <c r="J22" s="11"/>
      <c r="K22" s="11"/>
      <c r="L22" s="11"/>
      <c r="M22" s="16">
        <f>IF(F22="V",D22*100,0)</f>
        <v>1</v>
      </c>
      <c r="N22" s="15"/>
    </row>
    <row r="23" spans="1:14" x14ac:dyDescent="0.3">
      <c r="A23" s="66" t="s">
        <v>104</v>
      </c>
      <c r="B23" s="18">
        <f>B22+1</f>
        <v>2</v>
      </c>
      <c r="C23" s="48" t="str">
        <f>VLOOKUP($A23,PERTANYAAN!$A$18:$E$71,3,0)</f>
        <v>SIM A (utk jabatan di Divisi Operasi)</v>
      </c>
      <c r="D23" s="49">
        <f>VLOOKUP($A23,PERTANYAAN!$A$18:$E$71,5,0)</f>
        <v>0.02</v>
      </c>
      <c r="E23" s="17"/>
      <c r="F23" s="16"/>
      <c r="G23" s="16" t="s">
        <v>16</v>
      </c>
      <c r="H23" s="11"/>
      <c r="I23" s="11"/>
      <c r="J23" s="11"/>
      <c r="K23" s="11"/>
      <c r="L23" s="11"/>
      <c r="M23" s="16">
        <f>IF(F23="V",D23*100,0)</f>
        <v>0</v>
      </c>
      <c r="N23" s="15"/>
    </row>
    <row r="24" spans="1:14" x14ac:dyDescent="0.3">
      <c r="A24" s="66" t="s">
        <v>105</v>
      </c>
      <c r="B24" s="18">
        <f t="shared" ref="B24:B25" si="0">B23+1</f>
        <v>3</v>
      </c>
      <c r="C24" s="48" t="str">
        <f>VLOOKUP($A24,PERTANYAAN!$A$18:$E$71,3,0)</f>
        <v>SIM C</v>
      </c>
      <c r="D24" s="49">
        <f>VLOOKUP($A24,PERTANYAAN!$A$18:$E$71,5,0)</f>
        <v>0.01</v>
      </c>
      <c r="E24" s="17"/>
      <c r="F24" s="16"/>
      <c r="G24" s="16" t="s">
        <v>16</v>
      </c>
      <c r="H24" s="11"/>
      <c r="I24" s="11"/>
      <c r="J24" s="11"/>
      <c r="K24" s="11"/>
      <c r="L24" s="11"/>
      <c r="M24" s="16">
        <f>IF(F24="V",D24*100,0)</f>
        <v>0</v>
      </c>
      <c r="N24" s="15"/>
    </row>
    <row r="25" spans="1:14" x14ac:dyDescent="0.3">
      <c r="A25" s="66" t="s">
        <v>106</v>
      </c>
      <c r="B25" s="18">
        <f t="shared" si="0"/>
        <v>4</v>
      </c>
      <c r="C25" s="48" t="str">
        <f>VLOOKUP($A25,PERTANYAAN!$A$18:$E$71,3,0)</f>
        <v>NPWP</v>
      </c>
      <c r="D25" s="49">
        <f>VLOOKUP($A25,PERTANYAAN!$A$18:$E$71,5,0)</f>
        <v>0.01</v>
      </c>
      <c r="E25" s="17"/>
      <c r="F25" s="16" t="s">
        <v>16</v>
      </c>
      <c r="G25" s="16"/>
      <c r="H25" s="11"/>
      <c r="I25" s="11"/>
      <c r="J25" s="11"/>
      <c r="K25" s="11"/>
      <c r="L25" s="11"/>
      <c r="M25" s="16">
        <f>IF(F25="V",D25*100,0)</f>
        <v>1</v>
      </c>
      <c r="N25" s="15"/>
    </row>
    <row r="26" spans="1:14" x14ac:dyDescent="0.3">
      <c r="A26" s="1"/>
      <c r="B26" s="14"/>
      <c r="C26" s="15"/>
      <c r="D26" s="17"/>
      <c r="E26" s="17"/>
      <c r="F26" s="16"/>
      <c r="G26" s="16"/>
      <c r="H26" s="11"/>
      <c r="I26" s="11"/>
      <c r="J26" s="11"/>
      <c r="K26" s="11"/>
      <c r="L26" s="11"/>
      <c r="M26" s="16"/>
      <c r="N26" s="15"/>
    </row>
    <row r="27" spans="1:14" x14ac:dyDescent="0.3">
      <c r="A27" s="1"/>
      <c r="B27" s="51" t="s">
        <v>96</v>
      </c>
      <c r="C27" s="52" t="s">
        <v>21</v>
      </c>
      <c r="D27" s="54">
        <f>D28</f>
        <v>0.35000000000000003</v>
      </c>
      <c r="E27" s="60"/>
      <c r="F27" s="63"/>
      <c r="G27" s="63"/>
      <c r="H27" s="56"/>
      <c r="I27" s="56"/>
      <c r="J27" s="56"/>
      <c r="K27" s="56"/>
      <c r="L27" s="56"/>
      <c r="M27" s="57">
        <f>M28</f>
        <v>19.5</v>
      </c>
      <c r="N27" s="58"/>
    </row>
    <row r="28" spans="1:14" x14ac:dyDescent="0.3">
      <c r="A28" s="66" t="s">
        <v>107</v>
      </c>
      <c r="B28" s="18">
        <v>1</v>
      </c>
      <c r="C28" s="48" t="str">
        <f>VLOOKUP($A28,PERTANYAAN!$A$18:$E$71,3,0)</f>
        <v>Operasi / Logistik</v>
      </c>
      <c r="D28" s="49">
        <f>VLOOKUP($A28,PERTANYAAN!$A$18:$E$71,5,0)</f>
        <v>0.35000000000000003</v>
      </c>
      <c r="E28" s="17"/>
      <c r="F28" s="16"/>
      <c r="G28" s="16"/>
      <c r="H28" s="11"/>
      <c r="I28" s="11"/>
      <c r="J28" s="11"/>
      <c r="K28" s="11"/>
      <c r="L28" s="11"/>
      <c r="M28" s="16">
        <f>SUM(M29:M33)</f>
        <v>19.5</v>
      </c>
      <c r="N28" s="15"/>
    </row>
    <row r="29" spans="1:14" x14ac:dyDescent="0.3">
      <c r="A29" s="66" t="s">
        <v>108</v>
      </c>
      <c r="B29" s="18" t="s">
        <v>6</v>
      </c>
      <c r="C29" s="48" t="str">
        <f>VLOOKUP($A29,PERTANYAAN!$A$18:$E$71,3,0)</f>
        <v>Skill Mengemudi</v>
      </c>
      <c r="D29" s="49">
        <f>VLOOKUP($A29,PERTANYAAN!$A$18:$E$71,5,0)</f>
        <v>0.15</v>
      </c>
      <c r="E29" s="17"/>
      <c r="F29" s="16"/>
      <c r="G29" s="16"/>
      <c r="H29" s="11"/>
      <c r="I29" s="11"/>
      <c r="J29" s="11" t="s">
        <v>16</v>
      </c>
      <c r="K29" s="11"/>
      <c r="L29" s="11"/>
      <c r="M29" s="16">
        <f>IF(H29="V",$D29*H$15,IF(I29="V",$D29*I$15,IF(J29="V",$D29*J$15,IF(K29="V",$D29*K$15,IF(L29="V",$D29*L$15,0)))))*100</f>
        <v>9</v>
      </c>
      <c r="N29" s="15" t="s">
        <v>184</v>
      </c>
    </row>
    <row r="30" spans="1:14" x14ac:dyDescent="0.3">
      <c r="A30" s="66" t="s">
        <v>109</v>
      </c>
      <c r="B30" s="18" t="s">
        <v>6</v>
      </c>
      <c r="C30" s="48" t="str">
        <f>VLOOKUP($A30,PERTANYAAN!$A$18:$E$71,3,0)</f>
        <v>Flow Administrasi Logistik</v>
      </c>
      <c r="D30" s="49">
        <f>VLOOKUP($A30,PERTANYAAN!$A$18:$E$71,5,0)</f>
        <v>0.1</v>
      </c>
      <c r="E30" s="17"/>
      <c r="F30" s="16"/>
      <c r="G30" s="16"/>
      <c r="H30" s="11"/>
      <c r="I30" s="11"/>
      <c r="J30" s="11" t="s">
        <v>16</v>
      </c>
      <c r="K30" s="11"/>
      <c r="L30" s="11"/>
      <c r="M30" s="16">
        <f t="shared" ref="M30:M32" si="1">IF(H30="V",$D30*H$15,IF(I30="V",$D30*I$15,IF(J30="V",$D30*J$15,IF(K30="V",$D30*K$15,IF(L30="V",$D30*L$15,0)))))*100</f>
        <v>6</v>
      </c>
      <c r="N30" s="15"/>
    </row>
    <row r="31" spans="1:14" x14ac:dyDescent="0.3">
      <c r="A31" s="66" t="s">
        <v>110</v>
      </c>
      <c r="B31" s="18" t="s">
        <v>6</v>
      </c>
      <c r="C31" s="48" t="str">
        <f>VLOOKUP($A31,PERTANYAAN!$A$18:$E$71,3,0)</f>
        <v>Pengetahuan terkait logistik</v>
      </c>
      <c r="D31" s="49">
        <f>VLOOKUP($A31,PERTANYAAN!$A$18:$E$71,5,0)</f>
        <v>2.5000000000000001E-2</v>
      </c>
      <c r="E31" s="17"/>
      <c r="F31" s="16"/>
      <c r="G31" s="16"/>
      <c r="H31" s="11"/>
      <c r="I31" s="11"/>
      <c r="J31" s="11" t="s">
        <v>16</v>
      </c>
      <c r="K31" s="11"/>
      <c r="L31" s="11"/>
      <c r="M31" s="16">
        <f t="shared" si="1"/>
        <v>1.5</v>
      </c>
      <c r="N31" s="15"/>
    </row>
    <row r="32" spans="1:14" x14ac:dyDescent="0.3">
      <c r="A32" s="66" t="s">
        <v>111</v>
      </c>
      <c r="B32" s="18" t="s">
        <v>6</v>
      </c>
      <c r="C32" s="48" t="str">
        <f>VLOOKUP($A32,PERTANYAAN!$A$18:$E$71,3,0)</f>
        <v>Pengalaman di Bongkar Muat</v>
      </c>
      <c r="D32" s="49">
        <f>VLOOKUP($A32,PERTANYAAN!$A$18:$E$71,5,0)</f>
        <v>7.4999999999999997E-2</v>
      </c>
      <c r="E32" s="17"/>
      <c r="F32" s="16"/>
      <c r="G32" s="16"/>
      <c r="H32" s="11"/>
      <c r="I32" s="11" t="s">
        <v>16</v>
      </c>
      <c r="J32" s="11"/>
      <c r="K32" s="11"/>
      <c r="L32" s="11"/>
      <c r="M32" s="16">
        <f t="shared" si="1"/>
        <v>3</v>
      </c>
      <c r="N32" s="15"/>
    </row>
    <row r="33" spans="1:14" x14ac:dyDescent="0.3">
      <c r="A33" s="1"/>
      <c r="B33" s="18"/>
      <c r="C33" s="15"/>
      <c r="D33" s="17"/>
      <c r="E33" s="17"/>
      <c r="F33" s="16"/>
      <c r="G33" s="16"/>
      <c r="H33" s="11"/>
      <c r="I33" s="11"/>
      <c r="J33" s="11"/>
      <c r="K33" s="11"/>
      <c r="L33" s="11"/>
      <c r="M33" s="16"/>
      <c r="N33" s="15"/>
    </row>
    <row r="34" spans="1:14" hidden="1" outlineLevel="1" x14ac:dyDescent="0.3">
      <c r="A34" s="1"/>
      <c r="B34" s="18">
        <f>B28+1</f>
        <v>2</v>
      </c>
      <c r="C34" s="15" t="s">
        <v>22</v>
      </c>
      <c r="D34" s="17">
        <f>SUM(D35:D37)</f>
        <v>0.35</v>
      </c>
      <c r="E34" s="17"/>
      <c r="F34" s="16"/>
      <c r="G34" s="16"/>
      <c r="H34" s="11"/>
      <c r="I34" s="11"/>
      <c r="J34" s="11"/>
      <c r="K34" s="11"/>
      <c r="L34" s="11"/>
      <c r="M34" s="16"/>
      <c r="N34" s="15"/>
    </row>
    <row r="35" spans="1:14" hidden="1" outlineLevel="1" x14ac:dyDescent="0.3">
      <c r="A35" s="1"/>
      <c r="B35" s="18" t="s">
        <v>6</v>
      </c>
      <c r="C35" s="15" t="s">
        <v>44</v>
      </c>
      <c r="D35" s="17">
        <v>0.15</v>
      </c>
      <c r="E35" s="17"/>
      <c r="F35" s="16"/>
      <c r="G35" s="16"/>
      <c r="H35" s="11"/>
      <c r="I35" s="11"/>
      <c r="J35" s="11"/>
      <c r="K35" s="11"/>
      <c r="L35" s="11"/>
      <c r="M35" s="16"/>
      <c r="N35" s="15"/>
    </row>
    <row r="36" spans="1:14" hidden="1" outlineLevel="1" x14ac:dyDescent="0.3">
      <c r="A36" s="1"/>
      <c r="B36" s="18" t="s">
        <v>6</v>
      </c>
      <c r="C36" s="15" t="s">
        <v>50</v>
      </c>
      <c r="D36" s="17">
        <v>0.2</v>
      </c>
      <c r="E36" s="17"/>
      <c r="F36" s="16"/>
      <c r="G36" s="16"/>
      <c r="H36" s="11"/>
      <c r="I36" s="11"/>
      <c r="J36" s="11"/>
      <c r="K36" s="11"/>
      <c r="L36" s="11"/>
      <c r="M36" s="16"/>
      <c r="N36" s="15"/>
    </row>
    <row r="37" spans="1:14" hidden="1" outlineLevel="1" x14ac:dyDescent="0.3">
      <c r="A37" s="1"/>
      <c r="B37" s="18"/>
      <c r="C37" s="15"/>
      <c r="D37" s="17"/>
      <c r="E37" s="17"/>
      <c r="F37" s="16"/>
      <c r="G37" s="16"/>
      <c r="H37" s="11"/>
      <c r="I37" s="11"/>
      <c r="J37" s="11"/>
      <c r="K37" s="11"/>
      <c r="L37" s="11"/>
      <c r="M37" s="16"/>
      <c r="N37" s="15"/>
    </row>
    <row r="38" spans="1:14" hidden="1" outlineLevel="1" x14ac:dyDescent="0.3">
      <c r="A38" s="1"/>
      <c r="B38" s="14">
        <v>3</v>
      </c>
      <c r="C38" s="15" t="s">
        <v>23</v>
      </c>
      <c r="D38" s="17"/>
      <c r="E38" s="17"/>
      <c r="F38" s="16"/>
      <c r="G38" s="16"/>
      <c r="H38" s="11"/>
      <c r="I38" s="11"/>
      <c r="J38" s="11"/>
      <c r="K38" s="11"/>
      <c r="L38" s="11"/>
      <c r="M38" s="16"/>
      <c r="N38" s="15"/>
    </row>
    <row r="39" spans="1:14" hidden="1" outlineLevel="1" x14ac:dyDescent="0.3">
      <c r="A39" s="1"/>
      <c r="B39" s="18" t="s">
        <v>6</v>
      </c>
      <c r="C39" s="15" t="s">
        <v>52</v>
      </c>
      <c r="D39" s="17"/>
      <c r="E39" s="17"/>
      <c r="F39" s="16"/>
      <c r="G39" s="16"/>
      <c r="H39" s="11"/>
      <c r="I39" s="11"/>
      <c r="J39" s="11"/>
      <c r="K39" s="11"/>
      <c r="L39" s="11"/>
      <c r="M39" s="16"/>
      <c r="N39" s="15"/>
    </row>
    <row r="40" spans="1:14" hidden="1" outlineLevel="1" x14ac:dyDescent="0.3">
      <c r="A40" s="1"/>
      <c r="B40" s="18" t="s">
        <v>6</v>
      </c>
      <c r="C40" s="15" t="s">
        <v>53</v>
      </c>
      <c r="D40" s="17"/>
      <c r="E40" s="17"/>
      <c r="F40" s="16"/>
      <c r="G40" s="16"/>
      <c r="H40" s="11"/>
      <c r="I40" s="11"/>
      <c r="J40" s="11"/>
      <c r="K40" s="11"/>
      <c r="L40" s="11"/>
      <c r="M40" s="16"/>
      <c r="N40" s="15"/>
    </row>
    <row r="41" spans="1:14" hidden="1" outlineLevel="1" x14ac:dyDescent="0.3">
      <c r="A41" s="1"/>
      <c r="B41" s="18" t="s">
        <v>6</v>
      </c>
      <c r="C41" s="15"/>
      <c r="D41" s="17"/>
      <c r="E41" s="17"/>
      <c r="F41" s="16"/>
      <c r="G41" s="16"/>
      <c r="H41" s="11"/>
      <c r="I41" s="11"/>
      <c r="J41" s="11"/>
      <c r="K41" s="11"/>
      <c r="L41" s="11"/>
      <c r="M41" s="16"/>
      <c r="N41" s="15"/>
    </row>
    <row r="42" spans="1:14" hidden="1" outlineLevel="1" x14ac:dyDescent="0.3">
      <c r="A42" s="1"/>
      <c r="B42" s="14"/>
      <c r="C42" s="15"/>
      <c r="D42" s="17"/>
      <c r="E42" s="17"/>
      <c r="F42" s="16"/>
      <c r="G42" s="16"/>
      <c r="H42" s="11"/>
      <c r="I42" s="11"/>
      <c r="J42" s="11"/>
      <c r="K42" s="11"/>
      <c r="L42" s="11"/>
      <c r="M42" s="16"/>
      <c r="N42" s="15"/>
    </row>
    <row r="43" spans="1:14" s="2" customFormat="1" collapsed="1" x14ac:dyDescent="0.3">
      <c r="A43" s="3"/>
      <c r="B43" s="51" t="s">
        <v>97</v>
      </c>
      <c r="C43" s="52" t="s">
        <v>24</v>
      </c>
      <c r="D43" s="54">
        <f>D44</f>
        <v>0.25</v>
      </c>
      <c r="E43" s="54"/>
      <c r="F43" s="57"/>
      <c r="G43" s="57"/>
      <c r="H43" s="62"/>
      <c r="I43" s="62"/>
      <c r="J43" s="62"/>
      <c r="K43" s="62"/>
      <c r="L43" s="62"/>
      <c r="M43" s="57">
        <f>M44</f>
        <v>15.500000000000002</v>
      </c>
      <c r="N43" s="52"/>
    </row>
    <row r="44" spans="1:14" x14ac:dyDescent="0.3">
      <c r="A44" s="1" t="s">
        <v>112</v>
      </c>
      <c r="B44" s="14">
        <v>1</v>
      </c>
      <c r="C44" s="48" t="str">
        <f>VLOOKUP($A44,PERTANYAAN!$A$18:$E$71,3,0)</f>
        <v>Staff</v>
      </c>
      <c r="D44" s="49">
        <f>VLOOKUP($A44,PERTANYAAN!$A$18:$E$71,5,0)</f>
        <v>0.25</v>
      </c>
      <c r="E44" s="17"/>
      <c r="F44" s="16"/>
      <c r="G44" s="16"/>
      <c r="H44" s="11"/>
      <c r="I44" s="11"/>
      <c r="J44" s="11"/>
      <c r="K44" s="11"/>
      <c r="L44" s="11"/>
      <c r="M44" s="16">
        <f>SUM(M45:M48)</f>
        <v>15.500000000000002</v>
      </c>
      <c r="N44" s="15"/>
    </row>
    <row r="45" spans="1:14" x14ac:dyDescent="0.3">
      <c r="A45" s="66" t="s">
        <v>113</v>
      </c>
      <c r="B45" s="18" t="s">
        <v>6</v>
      </c>
      <c r="C45" s="48" t="str">
        <f>VLOOKUP($A45,PERTANYAAN!$A$18:$E$71,3,0)</f>
        <v>Kepemimpinan</v>
      </c>
      <c r="D45" s="49">
        <f>VLOOKUP($A45,PERTANYAAN!$A$18:$E$71,5,0)</f>
        <v>2.5000000000000001E-2</v>
      </c>
      <c r="E45" s="17"/>
      <c r="F45" s="16"/>
      <c r="G45" s="16"/>
      <c r="H45" s="11"/>
      <c r="I45" s="11"/>
      <c r="J45" s="11" t="s">
        <v>16</v>
      </c>
      <c r="K45" s="11"/>
      <c r="L45" s="11"/>
      <c r="M45" s="16">
        <f>IF(H45="V",$D45*H$15,IF(I45="V",$D45*I$15,IF(J45="V",$D45*J$15,IF(K45="V",$D45*K$15,IF(L45="V",$D45*L$15,0)))))*100</f>
        <v>1.5</v>
      </c>
      <c r="N45" s="15"/>
    </row>
    <row r="46" spans="1:14" x14ac:dyDescent="0.3">
      <c r="A46" s="66" t="s">
        <v>114</v>
      </c>
      <c r="B46" s="18" t="s">
        <v>6</v>
      </c>
      <c r="C46" s="48" t="str">
        <f>VLOOKUP($A46,PERTANYAAN!$A$18:$E$71,3,0)</f>
        <v>Komunikasi</v>
      </c>
      <c r="D46" s="49">
        <f>VLOOKUP($A46,PERTANYAAN!$A$18:$E$71,5,0)</f>
        <v>0.1</v>
      </c>
      <c r="E46" s="17"/>
      <c r="F46" s="16"/>
      <c r="G46" s="16"/>
      <c r="H46" s="11"/>
      <c r="I46" s="11" t="s">
        <v>16</v>
      </c>
      <c r="J46" s="11"/>
      <c r="K46" s="11"/>
      <c r="L46" s="11"/>
      <c r="M46" s="16">
        <f>IF(H46="V",$D46*H$15,IF(I46="V",$D46*I$15,IF(J46="V",$D46*J$15,IF(K46="V",$D46*K$15,IF(L46="V",$D46*L$15,0)))))*100</f>
        <v>4.0000000000000009</v>
      </c>
      <c r="N46" s="15"/>
    </row>
    <row r="47" spans="1:14" x14ac:dyDescent="0.3">
      <c r="A47" s="66" t="s">
        <v>115</v>
      </c>
      <c r="B47" s="18" t="s">
        <v>6</v>
      </c>
      <c r="C47" s="48" t="str">
        <f>VLOOKUP($A47,PERTANYAAN!$A$18:$E$71,3,0)</f>
        <v>Patuh pada Peraturan / Commitment</v>
      </c>
      <c r="D47" s="49">
        <f>VLOOKUP($A47,PERTANYAAN!$A$18:$E$71,5,0)</f>
        <v>0.05</v>
      </c>
      <c r="E47" s="17"/>
      <c r="F47" s="16"/>
      <c r="G47" s="16"/>
      <c r="H47" s="11"/>
      <c r="I47" s="11"/>
      <c r="J47" s="11"/>
      <c r="K47" s="11" t="s">
        <v>16</v>
      </c>
      <c r="L47" s="11"/>
      <c r="M47" s="16">
        <f>IF(H47="V",$D47*H$15,IF(I47="V",$D47*I$15,IF(J47="V",$D47*J$15,IF(K47="V",$D47*K$15,IF(L47="V",$D47*L$15,0)))))*100</f>
        <v>4.0000000000000009</v>
      </c>
      <c r="N47" s="15"/>
    </row>
    <row r="48" spans="1:14" x14ac:dyDescent="0.3">
      <c r="A48" s="66" t="s">
        <v>116</v>
      </c>
      <c r="B48" s="18" t="s">
        <v>6</v>
      </c>
      <c r="C48" s="48" t="str">
        <f>VLOOKUP($A48,PERTANYAAN!$A$18:$E$71,3,0)</f>
        <v>Determinasi thd tekanan</v>
      </c>
      <c r="D48" s="49">
        <f>VLOOKUP($A48,PERTANYAAN!$A$18:$E$71,5,0)</f>
        <v>7.4999999999999997E-2</v>
      </c>
      <c r="E48" s="17"/>
      <c r="F48" s="16"/>
      <c r="G48" s="16"/>
      <c r="H48" s="11"/>
      <c r="I48" s="11"/>
      <c r="J48" s="11"/>
      <c r="K48" s="11" t="s">
        <v>16</v>
      </c>
      <c r="L48" s="11"/>
      <c r="M48" s="16">
        <f>IF(H48="V",$D48*H$15,IF(I48="V",$D48*I$15,IF(J48="V",$D48*J$15,IF(K48="V",$D48*K$15,IF(L48="V",$D48*L$15,0)))))*100</f>
        <v>6</v>
      </c>
      <c r="N48" s="15"/>
    </row>
    <row r="49" spans="1:14" x14ac:dyDescent="0.3">
      <c r="A49" s="1"/>
      <c r="B49" s="18"/>
      <c r="C49" s="15"/>
      <c r="D49" s="17"/>
      <c r="E49" s="17"/>
      <c r="F49" s="16"/>
      <c r="G49" s="16"/>
      <c r="H49" s="11"/>
      <c r="I49" s="11"/>
      <c r="J49" s="11"/>
      <c r="K49" s="11"/>
      <c r="L49" s="11"/>
      <c r="M49" s="16"/>
      <c r="N49" s="15"/>
    </row>
    <row r="50" spans="1:14" hidden="1" outlineLevel="1" x14ac:dyDescent="0.3">
      <c r="A50" s="1"/>
      <c r="B50" s="14">
        <v>2</v>
      </c>
      <c r="C50" s="15" t="s">
        <v>26</v>
      </c>
      <c r="D50" s="17"/>
      <c r="E50" s="17"/>
      <c r="F50" s="16"/>
      <c r="G50" s="16"/>
      <c r="H50" s="11"/>
      <c r="I50" s="11"/>
      <c r="J50" s="11"/>
      <c r="K50" s="11"/>
      <c r="L50" s="11"/>
      <c r="M50" s="16"/>
      <c r="N50" s="15"/>
    </row>
    <row r="51" spans="1:14" hidden="1" outlineLevel="1" x14ac:dyDescent="0.3">
      <c r="A51" s="1"/>
      <c r="B51" s="18" t="s">
        <v>6</v>
      </c>
      <c r="C51" s="15" t="s">
        <v>54</v>
      </c>
      <c r="D51" s="17"/>
      <c r="E51" s="17"/>
      <c r="F51" s="16"/>
      <c r="G51" s="16"/>
      <c r="H51" s="11"/>
      <c r="I51" s="11"/>
      <c r="J51" s="11"/>
      <c r="K51" s="11"/>
      <c r="L51" s="11"/>
      <c r="M51" s="16"/>
      <c r="N51" s="15"/>
    </row>
    <row r="52" spans="1:14" hidden="1" outlineLevel="1" x14ac:dyDescent="0.3">
      <c r="A52" s="1"/>
      <c r="B52" s="18" t="s">
        <v>6</v>
      </c>
      <c r="C52" s="15" t="s">
        <v>55</v>
      </c>
      <c r="D52" s="17"/>
      <c r="E52" s="17"/>
      <c r="F52" s="16"/>
      <c r="G52" s="16"/>
      <c r="H52" s="11"/>
      <c r="I52" s="11"/>
      <c r="J52" s="11"/>
      <c r="K52" s="11"/>
      <c r="L52" s="11"/>
      <c r="M52" s="16"/>
      <c r="N52" s="15"/>
    </row>
    <row r="53" spans="1:14" hidden="1" outlineLevel="1" x14ac:dyDescent="0.3">
      <c r="A53" s="1"/>
      <c r="B53" s="18" t="s">
        <v>6</v>
      </c>
      <c r="C53" s="15" t="s">
        <v>56</v>
      </c>
      <c r="D53" s="17"/>
      <c r="E53" s="17"/>
      <c r="F53" s="16"/>
      <c r="G53" s="16"/>
      <c r="H53" s="11"/>
      <c r="I53" s="11"/>
      <c r="J53" s="11"/>
      <c r="K53" s="11"/>
      <c r="L53" s="11"/>
      <c r="M53" s="16"/>
      <c r="N53" s="15"/>
    </row>
    <row r="54" spans="1:14" hidden="1" outlineLevel="1" x14ac:dyDescent="0.3">
      <c r="A54" s="1"/>
      <c r="B54" s="18"/>
      <c r="C54" s="15"/>
      <c r="D54" s="17"/>
      <c r="E54" s="17"/>
      <c r="F54" s="16"/>
      <c r="G54" s="16"/>
      <c r="H54" s="11"/>
      <c r="I54" s="11"/>
      <c r="J54" s="11"/>
      <c r="K54" s="11"/>
      <c r="L54" s="11"/>
      <c r="M54" s="16"/>
      <c r="N54" s="15"/>
    </row>
    <row r="55" spans="1:14" hidden="1" outlineLevel="1" x14ac:dyDescent="0.3">
      <c r="A55" s="1"/>
      <c r="B55" s="14">
        <v>3</v>
      </c>
      <c r="C55" s="15" t="s">
        <v>27</v>
      </c>
      <c r="D55" s="17"/>
      <c r="E55" s="17"/>
      <c r="F55" s="16"/>
      <c r="G55" s="16"/>
      <c r="H55" s="11"/>
      <c r="I55" s="11"/>
      <c r="J55" s="11"/>
      <c r="K55" s="11"/>
      <c r="L55" s="11"/>
      <c r="M55" s="16"/>
      <c r="N55" s="15"/>
    </row>
    <row r="56" spans="1:14" hidden="1" outlineLevel="1" x14ac:dyDescent="0.3">
      <c r="A56" s="1"/>
      <c r="B56" s="18" t="s">
        <v>6</v>
      </c>
      <c r="C56" s="15" t="s">
        <v>54</v>
      </c>
      <c r="D56" s="17"/>
      <c r="E56" s="17"/>
      <c r="F56" s="16"/>
      <c r="G56" s="16"/>
      <c r="H56" s="11"/>
      <c r="I56" s="11"/>
      <c r="J56" s="11"/>
      <c r="K56" s="11"/>
      <c r="L56" s="11"/>
      <c r="M56" s="16"/>
      <c r="N56" s="15"/>
    </row>
    <row r="57" spans="1:14" hidden="1" outlineLevel="1" x14ac:dyDescent="0.3">
      <c r="A57" s="1"/>
      <c r="B57" s="18" t="s">
        <v>6</v>
      </c>
      <c r="C57" s="15" t="s">
        <v>56</v>
      </c>
      <c r="D57" s="17"/>
      <c r="E57" s="17"/>
      <c r="F57" s="16"/>
      <c r="G57" s="16"/>
      <c r="H57" s="11"/>
      <c r="I57" s="11"/>
      <c r="J57" s="11"/>
      <c r="K57" s="11"/>
      <c r="L57" s="11"/>
      <c r="M57" s="16"/>
      <c r="N57" s="15"/>
    </row>
    <row r="58" spans="1:14" hidden="1" outlineLevel="1" x14ac:dyDescent="0.3">
      <c r="A58" s="1"/>
      <c r="B58" s="18" t="s">
        <v>6</v>
      </c>
      <c r="C58" s="15" t="s">
        <v>57</v>
      </c>
      <c r="D58" s="17"/>
      <c r="E58" s="17"/>
      <c r="F58" s="16"/>
      <c r="G58" s="16"/>
      <c r="H58" s="11"/>
      <c r="I58" s="11"/>
      <c r="J58" s="11"/>
      <c r="K58" s="11"/>
      <c r="L58" s="11"/>
      <c r="M58" s="16"/>
      <c r="N58" s="15"/>
    </row>
    <row r="59" spans="1:14" hidden="1" outlineLevel="1" x14ac:dyDescent="0.3">
      <c r="A59" s="1"/>
      <c r="B59" s="14"/>
      <c r="C59" s="15"/>
      <c r="D59" s="17"/>
      <c r="E59" s="17"/>
      <c r="F59" s="16"/>
      <c r="G59" s="16"/>
      <c r="H59" s="11"/>
      <c r="I59" s="11"/>
      <c r="J59" s="11"/>
      <c r="K59" s="11"/>
      <c r="L59" s="11"/>
      <c r="M59" s="16"/>
      <c r="N59" s="15"/>
    </row>
    <row r="60" spans="1:14" s="2" customFormat="1" collapsed="1" x14ac:dyDescent="0.3">
      <c r="A60" s="3"/>
      <c r="B60" s="51" t="s">
        <v>98</v>
      </c>
      <c r="C60" s="52" t="s">
        <v>46</v>
      </c>
      <c r="D60" s="54">
        <f>SUM(D61:D64)</f>
        <v>0.15</v>
      </c>
      <c r="E60" s="54"/>
      <c r="F60" s="57"/>
      <c r="G60" s="57"/>
      <c r="H60" s="62"/>
      <c r="I60" s="62"/>
      <c r="J60" s="62"/>
      <c r="K60" s="62"/>
      <c r="L60" s="62"/>
      <c r="M60" s="57">
        <f>SUM(M61:M64)</f>
        <v>10.5</v>
      </c>
      <c r="N60" s="52"/>
    </row>
    <row r="61" spans="1:14" x14ac:dyDescent="0.3">
      <c r="A61" s="66" t="s">
        <v>117</v>
      </c>
      <c r="B61" s="18" t="s">
        <v>6</v>
      </c>
      <c r="C61" s="48" t="str">
        <f>VLOOKUP($A61,PERTANYAAN!$A$18:$E$71,3,0)</f>
        <v>Antusiasme / Keinginan bergabung</v>
      </c>
      <c r="D61" s="49">
        <f>VLOOKUP($A61,PERTANYAAN!$A$18:$E$71,5,0)</f>
        <v>7.4999999999999997E-2</v>
      </c>
      <c r="E61" s="17"/>
      <c r="F61" s="16"/>
      <c r="G61" s="16"/>
      <c r="H61" s="11"/>
      <c r="I61" s="11"/>
      <c r="J61" s="11"/>
      <c r="K61" s="11" t="s">
        <v>16</v>
      </c>
      <c r="L61" s="11"/>
      <c r="M61" s="16">
        <f t="shared" ref="M61:M63" si="2">IF(H61="V",$D61*H$15,IF(I61="V",$D61*I$15,IF(J61="V",$D61*J$15,IF(K61="V",$D61*K$15,IF(L61="V",$D61*L$15,0)))))*100</f>
        <v>6</v>
      </c>
      <c r="N61" s="15"/>
    </row>
    <row r="62" spans="1:14" x14ac:dyDescent="0.3">
      <c r="A62" s="66" t="s">
        <v>118</v>
      </c>
      <c r="B62" s="18" t="s">
        <v>6</v>
      </c>
      <c r="C62" s="48" t="str">
        <f>VLOOKUP($A62,PERTANYAAN!$A$18:$E$71,3,0)</f>
        <v>Inisiatif</v>
      </c>
      <c r="D62" s="49">
        <f>VLOOKUP($A62,PERTANYAAN!$A$18:$E$71,5,0)</f>
        <v>0.05</v>
      </c>
      <c r="E62" s="17"/>
      <c r="F62" s="16"/>
      <c r="G62" s="16"/>
      <c r="H62" s="11"/>
      <c r="I62" s="11"/>
      <c r="J62" s="11" t="s">
        <v>16</v>
      </c>
      <c r="K62" s="11"/>
      <c r="L62" s="11"/>
      <c r="M62" s="16">
        <f t="shared" si="2"/>
        <v>3</v>
      </c>
      <c r="N62" s="15"/>
    </row>
    <row r="63" spans="1:14" x14ac:dyDescent="0.3">
      <c r="A63" s="66" t="s">
        <v>119</v>
      </c>
      <c r="B63" s="18" t="s">
        <v>6</v>
      </c>
      <c r="C63" s="48" t="str">
        <f>VLOOKUP($A63,PERTANYAAN!$A$18:$E$71,3,0)</f>
        <v>Adaptif</v>
      </c>
      <c r="D63" s="49">
        <f>VLOOKUP($A63,PERTANYAAN!$A$18:$E$71,5,0)</f>
        <v>2.5000000000000001E-2</v>
      </c>
      <c r="E63" s="17"/>
      <c r="F63" s="16"/>
      <c r="G63" s="16"/>
      <c r="H63" s="11"/>
      <c r="I63" s="11"/>
      <c r="J63" s="11" t="s">
        <v>16</v>
      </c>
      <c r="K63" s="11"/>
      <c r="L63" s="11"/>
      <c r="M63" s="16">
        <f t="shared" si="2"/>
        <v>1.5</v>
      </c>
      <c r="N63" s="15"/>
    </row>
    <row r="64" spans="1:14" x14ac:dyDescent="0.3">
      <c r="A64" s="1"/>
      <c r="B64" s="14"/>
      <c r="C64" s="15"/>
      <c r="D64" s="17"/>
      <c r="E64" s="17"/>
      <c r="F64" s="16"/>
      <c r="G64" s="16"/>
      <c r="H64" s="11"/>
      <c r="I64" s="11"/>
      <c r="J64" s="11"/>
      <c r="K64" s="11"/>
      <c r="L64" s="11"/>
      <c r="M64" s="16"/>
      <c r="N64" s="15"/>
    </row>
    <row r="65" spans="1:14" s="2" customFormat="1" x14ac:dyDescent="0.3">
      <c r="A65" s="3"/>
      <c r="B65" s="51" t="s">
        <v>99</v>
      </c>
      <c r="C65" s="52" t="s">
        <v>48</v>
      </c>
      <c r="D65" s="54">
        <f>SUM(D66:D68)</f>
        <v>0.05</v>
      </c>
      <c r="E65" s="54"/>
      <c r="F65" s="57"/>
      <c r="G65" s="57"/>
      <c r="H65" s="62"/>
      <c r="I65" s="62"/>
      <c r="J65" s="62"/>
      <c r="K65" s="62"/>
      <c r="L65" s="62"/>
      <c r="M65" s="57">
        <f>SUM(M66:M68)</f>
        <v>4</v>
      </c>
      <c r="N65" s="52"/>
    </row>
    <row r="66" spans="1:14" x14ac:dyDescent="0.3">
      <c r="A66" s="66" t="s">
        <v>120</v>
      </c>
      <c r="B66" s="18" t="s">
        <v>6</v>
      </c>
      <c r="C66" s="48" t="str">
        <f>VLOOKUP($A66,PERTANYAAN!$A$18:$E$71,3,0)</f>
        <v>Ekspektasi Salary (Mengukur Budget &amp; Skill)</v>
      </c>
      <c r="D66" s="49">
        <f>VLOOKUP($A66,PERTANYAAN!$A$18:$E$71,5,0)</f>
        <v>0.04</v>
      </c>
      <c r="E66" s="17"/>
      <c r="F66" s="16"/>
      <c r="G66" s="16"/>
      <c r="H66" s="11"/>
      <c r="I66" s="11"/>
      <c r="J66" s="11"/>
      <c r="K66" s="11" t="s">
        <v>16</v>
      </c>
      <c r="L66" s="11"/>
      <c r="M66" s="16">
        <f t="shared" ref="M66:M67" si="3">IF(H66="V",$D66*H$15,IF(I66="V",$D66*I$15,IF(J66="V",$D66*J$15,IF(K66="V",$D66*K$15,IF(L66="V",$D66*L$15,0)))))*100</f>
        <v>3.2</v>
      </c>
      <c r="N66" s="15"/>
    </row>
    <row r="67" spans="1:14" x14ac:dyDescent="0.3">
      <c r="A67" s="66" t="s">
        <v>121</v>
      </c>
      <c r="B67" s="18" t="s">
        <v>6</v>
      </c>
      <c r="C67" s="48" t="str">
        <f>VLOOKUP($A67,PERTANYAAN!$A$18:$E$71,3,0)</f>
        <v>Tujuan Karir</v>
      </c>
      <c r="D67" s="49">
        <f>VLOOKUP($A67,PERTANYAAN!$A$18:$E$71,5,0)</f>
        <v>0.01</v>
      </c>
      <c r="E67" s="17"/>
      <c r="F67" s="16"/>
      <c r="G67" s="16"/>
      <c r="H67" s="11"/>
      <c r="I67" s="11"/>
      <c r="J67" s="11"/>
      <c r="K67" s="11" t="s">
        <v>16</v>
      </c>
      <c r="L67" s="11"/>
      <c r="M67" s="16">
        <f t="shared" si="3"/>
        <v>0.8</v>
      </c>
      <c r="N67" s="15"/>
    </row>
    <row r="68" spans="1:14" x14ac:dyDescent="0.3">
      <c r="A68" s="66"/>
      <c r="B68" s="14"/>
      <c r="C68" s="15"/>
      <c r="D68" s="17"/>
      <c r="E68" s="17"/>
      <c r="F68" s="16"/>
      <c r="G68" s="16"/>
      <c r="H68" s="11"/>
      <c r="I68" s="11"/>
      <c r="J68" s="11"/>
      <c r="K68" s="11"/>
      <c r="L68" s="11"/>
      <c r="M68" s="16"/>
      <c r="N68" s="15"/>
    </row>
    <row r="69" spans="1:14" s="2" customFormat="1" x14ac:dyDescent="0.3">
      <c r="A69" s="3"/>
      <c r="B69" s="51" t="s">
        <v>100</v>
      </c>
      <c r="C69" s="52" t="s">
        <v>134</v>
      </c>
      <c r="D69" s="54">
        <f>SUM(D70:D70)</f>
        <v>0.05</v>
      </c>
      <c r="E69" s="54"/>
      <c r="F69" s="57"/>
      <c r="G69" s="57"/>
      <c r="H69" s="62"/>
      <c r="I69" s="62"/>
      <c r="J69" s="62"/>
      <c r="K69" s="62"/>
      <c r="L69" s="62"/>
      <c r="M69" s="57">
        <f>SUM(M70)</f>
        <v>0</v>
      </c>
      <c r="N69" s="52"/>
    </row>
    <row r="70" spans="1:14" x14ac:dyDescent="0.3">
      <c r="A70" s="66" t="s">
        <v>122</v>
      </c>
      <c r="B70" s="18" t="s">
        <v>6</v>
      </c>
      <c r="C70" s="48" t="str">
        <f>VLOOKUP($A70,PERTANYAAN!$A$18:$E$71,3,0)</f>
        <v>Pertanyaan Spesifik User</v>
      </c>
      <c r="D70" s="49">
        <f>VLOOKUP($A70,PERTANYAAN!$A$18:$E$71,5,0)</f>
        <v>0.05</v>
      </c>
      <c r="E70" s="17"/>
      <c r="F70" s="16"/>
      <c r="G70" s="16"/>
      <c r="H70" s="11"/>
      <c r="I70" s="11"/>
      <c r="J70" s="11"/>
      <c r="K70" s="11"/>
      <c r="L70" s="11"/>
      <c r="M70" s="16">
        <f t="shared" ref="M70" si="4">IF(H70="V",$D70*H$15,IF(I70="V",$D70*I$15,IF(J70="V",$D70*J$15,IF(K70="V",$D70*K$15,IF(L70="V",$D70*L$15,0)))))*100</f>
        <v>0</v>
      </c>
      <c r="N70" s="15"/>
    </row>
    <row r="71" spans="1:14" x14ac:dyDescent="0.3">
      <c r="B71" s="19"/>
      <c r="C71" s="20"/>
      <c r="D71" s="22"/>
      <c r="E71" s="22"/>
      <c r="F71" s="21"/>
      <c r="G71" s="21"/>
      <c r="H71" s="23"/>
      <c r="I71" s="23"/>
      <c r="J71" s="23"/>
      <c r="K71" s="23"/>
      <c r="L71" s="23"/>
      <c r="M71" s="21"/>
      <c r="N71" s="20"/>
    </row>
    <row r="73" spans="1:14" x14ac:dyDescent="0.3">
      <c r="C73" t="s">
        <v>165</v>
      </c>
    </row>
    <row r="75" spans="1:14" x14ac:dyDescent="0.3">
      <c r="C75" s="2" t="s">
        <v>159</v>
      </c>
    </row>
    <row r="76" spans="1:14" ht="14.4" customHeight="1" x14ac:dyDescent="0.3">
      <c r="C76" s="87" t="s">
        <v>160</v>
      </c>
      <c r="D76" s="87"/>
      <c r="F76" s="88"/>
      <c r="G76" s="88"/>
      <c r="H76" s="88"/>
      <c r="I76" s="88"/>
      <c r="J76" s="88"/>
      <c r="K76" s="88"/>
      <c r="L76" s="88"/>
      <c r="M76" s="88"/>
      <c r="N76" s="87" t="s">
        <v>185</v>
      </c>
    </row>
    <row r="77" spans="1:14" x14ac:dyDescent="0.3">
      <c r="C77" s="87"/>
      <c r="D77" s="87"/>
      <c r="F77" s="88"/>
      <c r="G77" s="88"/>
      <c r="H77" s="88"/>
      <c r="I77" s="88"/>
      <c r="J77" s="88"/>
      <c r="K77" s="88"/>
      <c r="L77" s="88"/>
      <c r="M77" s="88"/>
      <c r="N77" s="87"/>
    </row>
    <row r="79" spans="1:14" x14ac:dyDescent="0.3">
      <c r="C79" s="2" t="s">
        <v>161</v>
      </c>
      <c r="N79" s="2" t="s">
        <v>163</v>
      </c>
    </row>
    <row r="80" spans="1:14" x14ac:dyDescent="0.3">
      <c r="C80" t="s">
        <v>162</v>
      </c>
      <c r="M80" s="89">
        <v>1</v>
      </c>
      <c r="N80" t="s">
        <v>186</v>
      </c>
    </row>
    <row r="81" spans="8:14" x14ac:dyDescent="0.3">
      <c r="M81" s="89">
        <v>2</v>
      </c>
      <c r="N81" t="s">
        <v>187</v>
      </c>
    </row>
    <row r="82" spans="8:14" x14ac:dyDescent="0.3">
      <c r="M82" s="89"/>
    </row>
    <row r="83" spans="8:14" x14ac:dyDescent="0.3">
      <c r="M83" s="89"/>
      <c r="N83" s="2" t="s">
        <v>164</v>
      </c>
    </row>
    <row r="84" spans="8:14" x14ac:dyDescent="0.3">
      <c r="M84" s="89">
        <v>1</v>
      </c>
      <c r="N84" t="s">
        <v>188</v>
      </c>
    </row>
    <row r="85" spans="8:14" x14ac:dyDescent="0.3">
      <c r="M85" s="89">
        <v>2</v>
      </c>
      <c r="N85" t="s">
        <v>189</v>
      </c>
    </row>
    <row r="87" spans="8:14" x14ac:dyDescent="0.3">
      <c r="H87" s="26" t="s">
        <v>61</v>
      </c>
    </row>
    <row r="88" spans="8:14" x14ac:dyDescent="0.3">
      <c r="H88" s="7" t="s">
        <v>39</v>
      </c>
      <c r="I88" s="7" t="s">
        <v>29</v>
      </c>
      <c r="J88" s="25" t="s">
        <v>69</v>
      </c>
    </row>
    <row r="89" spans="8:14" x14ac:dyDescent="0.3">
      <c r="H89" s="7" t="s">
        <v>40</v>
      </c>
      <c r="I89" s="7" t="s">
        <v>29</v>
      </c>
      <c r="J89" s="25" t="s">
        <v>70</v>
      </c>
    </row>
    <row r="90" spans="8:14" x14ac:dyDescent="0.3">
      <c r="H90" s="7" t="s">
        <v>41</v>
      </c>
      <c r="I90" s="7" t="s">
        <v>29</v>
      </c>
      <c r="J90" s="25" t="s">
        <v>71</v>
      </c>
    </row>
    <row r="91" spans="8:14" x14ac:dyDescent="0.3">
      <c r="H91" s="7" t="s">
        <v>42</v>
      </c>
      <c r="I91" s="7" t="s">
        <v>29</v>
      </c>
      <c r="J91" s="25" t="s">
        <v>72</v>
      </c>
    </row>
    <row r="92" spans="8:14" x14ac:dyDescent="0.3">
      <c r="H92" s="7" t="s">
        <v>43</v>
      </c>
      <c r="I92" s="7" t="s">
        <v>29</v>
      </c>
      <c r="J92" s="25" t="s">
        <v>73</v>
      </c>
    </row>
  </sheetData>
  <mergeCells count="10">
    <mergeCell ref="M13:M14"/>
    <mergeCell ref="N13:N14"/>
    <mergeCell ref="N76:N77"/>
    <mergeCell ref="C76:D77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3828-2A3B-4D7E-BE24-6714E37406E7}">
  <sheetPr>
    <tabColor rgb="FF92D050"/>
  </sheetPr>
  <dimension ref="A1:N96"/>
  <sheetViews>
    <sheetView zoomScaleNormal="100" workbookViewId="0">
      <pane xSplit="1" ySplit="14" topLeftCell="B81" activePane="bottomRight" state="frozen"/>
      <selection activeCell="M16" sqref="M16"/>
      <selection pane="topRight" activeCell="M16" sqref="M16"/>
      <selection pane="bottomLeft" activeCell="M16" sqref="M16"/>
      <selection pane="bottomRight" activeCell="A73" sqref="A73:XFD96"/>
    </sheetView>
  </sheetViews>
  <sheetFormatPr defaultColWidth="8.88671875" defaultRowHeight="14.4" outlineLevelRow="1" x14ac:dyDescent="0.3"/>
  <cols>
    <col min="1" max="1" width="17.6640625" customWidth="1"/>
    <col min="2" max="2" width="4.33203125" style="1" bestFit="1" customWidth="1"/>
    <col min="3" max="3" width="40.109375" bestFit="1" customWidth="1"/>
    <col min="4" max="4" width="8.88671875" style="5"/>
    <col min="5" max="5" width="1.6640625" style="5" customWidth="1"/>
    <col min="6" max="7" width="8.88671875" style="4"/>
    <col min="8" max="12" width="8.88671875" style="7"/>
    <col min="13" max="13" width="8.88671875" style="4"/>
    <col min="14" max="14" width="16.88671875" customWidth="1"/>
  </cols>
  <sheetData>
    <row r="1" spans="1:14" x14ac:dyDescent="0.3">
      <c r="A1" s="2" t="s">
        <v>124</v>
      </c>
    </row>
    <row r="2" spans="1:14" x14ac:dyDescent="0.3">
      <c r="A2" s="2" t="s">
        <v>0</v>
      </c>
    </row>
    <row r="5" spans="1:14" x14ac:dyDescent="0.3">
      <c r="A5" s="2" t="s">
        <v>1</v>
      </c>
      <c r="B5" s="1" t="s">
        <v>29</v>
      </c>
      <c r="C5" s="2" t="s">
        <v>147</v>
      </c>
    </row>
    <row r="6" spans="1:14" x14ac:dyDescent="0.3">
      <c r="A6" s="2" t="s">
        <v>20</v>
      </c>
      <c r="B6" s="1" t="s">
        <v>29</v>
      </c>
      <c r="C6" t="s">
        <v>31</v>
      </c>
    </row>
    <row r="7" spans="1:14" x14ac:dyDescent="0.3">
      <c r="A7" s="2" t="s">
        <v>32</v>
      </c>
      <c r="B7" s="1" t="s">
        <v>29</v>
      </c>
      <c r="C7" t="s">
        <v>152</v>
      </c>
    </row>
    <row r="8" spans="1:14" x14ac:dyDescent="0.3">
      <c r="A8" s="2" t="s">
        <v>34</v>
      </c>
      <c r="B8" s="1" t="s">
        <v>29</v>
      </c>
      <c r="C8" t="s">
        <v>35</v>
      </c>
    </row>
    <row r="9" spans="1:14" x14ac:dyDescent="0.3">
      <c r="A9" s="2" t="s">
        <v>28</v>
      </c>
      <c r="B9" s="1" t="s">
        <v>29</v>
      </c>
    </row>
    <row r="10" spans="1:14" x14ac:dyDescent="0.3">
      <c r="A10" s="2" t="s">
        <v>38</v>
      </c>
      <c r="B10" s="1" t="s">
        <v>29</v>
      </c>
      <c r="C10" s="2" t="s">
        <v>153</v>
      </c>
      <c r="D10" s="6" t="s">
        <v>91</v>
      </c>
    </row>
    <row r="11" spans="1:14" x14ac:dyDescent="0.3">
      <c r="A11" s="2" t="s">
        <v>67</v>
      </c>
      <c r="B11" s="1" t="s">
        <v>29</v>
      </c>
      <c r="C11" s="24">
        <f>M16</f>
        <v>0</v>
      </c>
    </row>
    <row r="13" spans="1:14" s="2" customFormat="1" x14ac:dyDescent="0.3">
      <c r="A13" s="73" t="s">
        <v>123</v>
      </c>
      <c r="B13" s="74" t="s">
        <v>2</v>
      </c>
      <c r="C13" s="74" t="s">
        <v>3</v>
      </c>
      <c r="D13" s="76" t="s">
        <v>19</v>
      </c>
      <c r="E13" s="43"/>
      <c r="F13" s="78" t="s">
        <v>18</v>
      </c>
      <c r="G13" s="78"/>
      <c r="H13" s="74" t="s">
        <v>37</v>
      </c>
      <c r="I13" s="74"/>
      <c r="J13" s="74"/>
      <c r="K13" s="74"/>
      <c r="L13" s="74"/>
      <c r="M13" s="78" t="s">
        <v>17</v>
      </c>
      <c r="N13" s="68" t="s">
        <v>61</v>
      </c>
    </row>
    <row r="14" spans="1:14" s="2" customFormat="1" x14ac:dyDescent="0.3">
      <c r="A14" s="73"/>
      <c r="B14" s="74"/>
      <c r="C14" s="75"/>
      <c r="D14" s="77"/>
      <c r="E14" s="45"/>
      <c r="F14" s="44" t="s">
        <v>14</v>
      </c>
      <c r="G14" s="44" t="s">
        <v>15</v>
      </c>
      <c r="H14" s="42" t="s">
        <v>39</v>
      </c>
      <c r="I14" s="42" t="s">
        <v>40</v>
      </c>
      <c r="J14" s="42" t="s">
        <v>41</v>
      </c>
      <c r="K14" s="42" t="s">
        <v>42</v>
      </c>
      <c r="L14" s="42" t="s">
        <v>43</v>
      </c>
      <c r="M14" s="78"/>
      <c r="N14" s="68"/>
    </row>
    <row r="15" spans="1:14" s="2" customFormat="1" x14ac:dyDescent="0.3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3">
      <c r="A16" s="3"/>
      <c r="B16" s="40"/>
      <c r="C16" s="67" t="s">
        <v>65</v>
      </c>
      <c r="D16" s="40"/>
      <c r="E16" s="40"/>
      <c r="F16" s="64"/>
      <c r="G16" s="64"/>
      <c r="H16" s="40"/>
      <c r="I16" s="40"/>
      <c r="J16" s="40"/>
      <c r="K16" s="40"/>
      <c r="L16" s="40"/>
      <c r="M16" s="41">
        <f>M17+M21+M27+M43+M60+M65+M69</f>
        <v>0</v>
      </c>
      <c r="N16" s="36"/>
    </row>
    <row r="17" spans="1:14" x14ac:dyDescent="0.3">
      <c r="B17" s="51" t="s">
        <v>66</v>
      </c>
      <c r="C17" s="52" t="s">
        <v>8</v>
      </c>
      <c r="D17" s="54">
        <f>SUM(D18:D19)</f>
        <v>0.1</v>
      </c>
      <c r="E17" s="54"/>
      <c r="F17" s="57"/>
      <c r="G17" s="57"/>
      <c r="H17" s="56"/>
      <c r="I17" s="56"/>
      <c r="J17" s="56"/>
      <c r="K17" s="56"/>
      <c r="L17" s="56"/>
      <c r="M17" s="57">
        <f>SUM(M18:M20)</f>
        <v>0</v>
      </c>
      <c r="N17" s="58"/>
    </row>
    <row r="18" spans="1:14" x14ac:dyDescent="0.3">
      <c r="A18" s="66" t="s">
        <v>101</v>
      </c>
      <c r="B18" s="18">
        <v>1</v>
      </c>
      <c r="C18" s="48" t="str">
        <f>VLOOKUP($A18,PERTANYAAN!$A$18:$E$71,3,0)</f>
        <v>Pengalaman di dalam Daniswara Group</v>
      </c>
      <c r="D18" s="49">
        <f>VLOOKUP($A18,PERTANYAAN!$A$18:$E$71,5,0)</f>
        <v>0.06</v>
      </c>
      <c r="E18" s="17"/>
      <c r="F18" s="16"/>
      <c r="G18" s="16"/>
      <c r="H18" s="11"/>
      <c r="I18" s="11"/>
      <c r="J18" s="11"/>
      <c r="K18" s="11"/>
      <c r="L18" s="11"/>
      <c r="M18" s="16">
        <f>IF(F18="V",D18*100,0)</f>
        <v>0</v>
      </c>
      <c r="N18" s="15"/>
    </row>
    <row r="19" spans="1:14" x14ac:dyDescent="0.3">
      <c r="A19" s="66" t="s">
        <v>102</v>
      </c>
      <c r="B19" s="18">
        <f>B18+1</f>
        <v>2</v>
      </c>
      <c r="C19" s="48" t="str">
        <f>VLOOKUP($A19,PERTANYAAN!$A$18:$E$71,3,0)</f>
        <v>Pengalaman di luar Daniswara Group</v>
      </c>
      <c r="D19" s="49">
        <f>VLOOKUP($A19,PERTANYAAN!$A$18:$E$71,5,0)</f>
        <v>0.04</v>
      </c>
      <c r="E19" s="17"/>
      <c r="F19" s="16"/>
      <c r="G19" s="16"/>
      <c r="H19" s="11"/>
      <c r="I19" s="11"/>
      <c r="J19" s="11"/>
      <c r="K19" s="11"/>
      <c r="L19" s="11"/>
      <c r="M19" s="16">
        <f>IF(F19="V",D19*100,0)</f>
        <v>0</v>
      </c>
      <c r="N19" s="15"/>
    </row>
    <row r="20" spans="1:14" x14ac:dyDescent="0.3">
      <c r="A20" s="1"/>
      <c r="B20" s="14"/>
      <c r="C20" s="15"/>
      <c r="D20" s="17"/>
      <c r="E20" s="17"/>
      <c r="F20" s="16"/>
      <c r="G20" s="16"/>
      <c r="H20" s="11"/>
      <c r="I20" s="11"/>
      <c r="J20" s="11"/>
      <c r="K20" s="11"/>
      <c r="L20" s="11"/>
      <c r="M20" s="16"/>
      <c r="N20" s="15"/>
    </row>
    <row r="21" spans="1:14" x14ac:dyDescent="0.3">
      <c r="A21" s="1"/>
      <c r="B21" s="51" t="s">
        <v>42</v>
      </c>
      <c r="C21" s="52" t="s">
        <v>9</v>
      </c>
      <c r="D21" s="54">
        <f>SUM(D22:D25)</f>
        <v>0.05</v>
      </c>
      <c r="E21" s="54"/>
      <c r="F21" s="57"/>
      <c r="G21" s="57"/>
      <c r="H21" s="56"/>
      <c r="I21" s="56"/>
      <c r="J21" s="56"/>
      <c r="K21" s="56"/>
      <c r="L21" s="56"/>
      <c r="M21" s="57">
        <f>SUM(M22:M25)</f>
        <v>0</v>
      </c>
      <c r="N21" s="58"/>
    </row>
    <row r="22" spans="1:14" x14ac:dyDescent="0.3">
      <c r="A22" s="66" t="s">
        <v>103</v>
      </c>
      <c r="B22" s="18">
        <v>1</v>
      </c>
      <c r="C22" s="48" t="str">
        <f>VLOOKUP($A22,PERTANYAAN!$A$18:$E$71,3,0)</f>
        <v>Identitas (KTP &amp; KK)</v>
      </c>
      <c r="D22" s="49">
        <f>VLOOKUP($A22,PERTANYAAN!$A$18:$E$71,5,0)</f>
        <v>0.01</v>
      </c>
      <c r="E22" s="17"/>
      <c r="F22" s="16"/>
      <c r="G22" s="16"/>
      <c r="H22" s="11"/>
      <c r="I22" s="11"/>
      <c r="J22" s="11"/>
      <c r="K22" s="11"/>
      <c r="L22" s="11"/>
      <c r="M22" s="16">
        <f>IF(F22="V",D22*100,0)</f>
        <v>0</v>
      </c>
      <c r="N22" s="15"/>
    </row>
    <row r="23" spans="1:14" x14ac:dyDescent="0.3">
      <c r="A23" s="66" t="s">
        <v>104</v>
      </c>
      <c r="B23" s="18">
        <f>B22+1</f>
        <v>2</v>
      </c>
      <c r="C23" s="48" t="str">
        <f>VLOOKUP($A23,PERTANYAAN!$A$18:$E$71,3,0)</f>
        <v>SIM A (utk jabatan di Divisi Operasi)</v>
      </c>
      <c r="D23" s="49">
        <f>VLOOKUP($A23,PERTANYAAN!$A$18:$E$71,5,0)</f>
        <v>0.02</v>
      </c>
      <c r="E23" s="17"/>
      <c r="F23" s="16"/>
      <c r="G23" s="16"/>
      <c r="H23" s="11"/>
      <c r="I23" s="11"/>
      <c r="J23" s="11"/>
      <c r="K23" s="11"/>
      <c r="L23" s="11"/>
      <c r="M23" s="16">
        <f>IF(F23="V",D23*100,0)</f>
        <v>0</v>
      </c>
      <c r="N23" s="15"/>
    </row>
    <row r="24" spans="1:14" x14ac:dyDescent="0.3">
      <c r="A24" s="66" t="s">
        <v>105</v>
      </c>
      <c r="B24" s="18">
        <f t="shared" ref="B24:B25" si="0">B23+1</f>
        <v>3</v>
      </c>
      <c r="C24" s="48" t="str">
        <f>VLOOKUP($A24,PERTANYAAN!$A$18:$E$71,3,0)</f>
        <v>SIM C</v>
      </c>
      <c r="D24" s="49">
        <f>VLOOKUP($A24,PERTANYAAN!$A$18:$E$71,5,0)</f>
        <v>0.01</v>
      </c>
      <c r="E24" s="17"/>
      <c r="F24" s="16"/>
      <c r="G24" s="16"/>
      <c r="H24" s="11"/>
      <c r="I24" s="11"/>
      <c r="J24" s="11"/>
      <c r="K24" s="11"/>
      <c r="L24" s="11"/>
      <c r="M24" s="16">
        <f>IF(F24="V",D24*100,0)</f>
        <v>0</v>
      </c>
      <c r="N24" s="15"/>
    </row>
    <row r="25" spans="1:14" x14ac:dyDescent="0.3">
      <c r="A25" s="66" t="s">
        <v>106</v>
      </c>
      <c r="B25" s="18">
        <f t="shared" si="0"/>
        <v>4</v>
      </c>
      <c r="C25" s="48" t="str">
        <f>VLOOKUP($A25,PERTANYAAN!$A$18:$E$71,3,0)</f>
        <v>NPWP</v>
      </c>
      <c r="D25" s="49">
        <f>VLOOKUP($A25,PERTANYAAN!$A$18:$E$71,5,0)</f>
        <v>0.01</v>
      </c>
      <c r="E25" s="17"/>
      <c r="F25" s="16"/>
      <c r="G25" s="16"/>
      <c r="H25" s="11"/>
      <c r="I25" s="11"/>
      <c r="J25" s="11"/>
      <c r="K25" s="11"/>
      <c r="L25" s="11"/>
      <c r="M25" s="16">
        <f>IF(F25="V",D25*100,0)</f>
        <v>0</v>
      </c>
      <c r="N25" s="15"/>
    </row>
    <row r="26" spans="1:14" x14ac:dyDescent="0.3">
      <c r="A26" s="1"/>
      <c r="B26" s="14"/>
      <c r="C26" s="15"/>
      <c r="D26" s="17"/>
      <c r="E26" s="17"/>
      <c r="F26" s="16"/>
      <c r="G26" s="16"/>
      <c r="H26" s="11"/>
      <c r="I26" s="11"/>
      <c r="J26" s="11"/>
      <c r="K26" s="11"/>
      <c r="L26" s="11"/>
      <c r="M26" s="16"/>
      <c r="N26" s="15"/>
    </row>
    <row r="27" spans="1:14" x14ac:dyDescent="0.3">
      <c r="A27" s="1"/>
      <c r="B27" s="51" t="s">
        <v>96</v>
      </c>
      <c r="C27" s="52" t="s">
        <v>21</v>
      </c>
      <c r="D27" s="54">
        <f>D28</f>
        <v>0.35000000000000003</v>
      </c>
      <c r="E27" s="60"/>
      <c r="F27" s="63"/>
      <c r="G27" s="63"/>
      <c r="H27" s="56"/>
      <c r="I27" s="56"/>
      <c r="J27" s="56"/>
      <c r="K27" s="56"/>
      <c r="L27" s="56"/>
      <c r="M27" s="57">
        <f>M28</f>
        <v>0</v>
      </c>
      <c r="N27" s="58"/>
    </row>
    <row r="28" spans="1:14" x14ac:dyDescent="0.3">
      <c r="A28" s="66" t="s">
        <v>107</v>
      </c>
      <c r="B28" s="18">
        <v>1</v>
      </c>
      <c r="C28" s="48" t="str">
        <f>VLOOKUP($A28,PERTANYAAN!$A$18:$E$71,3,0)</f>
        <v>Operasi / Logistik</v>
      </c>
      <c r="D28" s="49">
        <f>VLOOKUP($A28,PERTANYAAN!$A$18:$E$71,5,0)</f>
        <v>0.35000000000000003</v>
      </c>
      <c r="E28" s="17"/>
      <c r="F28" s="16"/>
      <c r="G28" s="16"/>
      <c r="H28" s="11"/>
      <c r="I28" s="11"/>
      <c r="J28" s="11"/>
      <c r="K28" s="11"/>
      <c r="L28" s="11"/>
      <c r="M28" s="16">
        <f>SUM(M29:M33)</f>
        <v>0</v>
      </c>
      <c r="N28" s="15"/>
    </row>
    <row r="29" spans="1:14" x14ac:dyDescent="0.3">
      <c r="A29" s="66" t="s">
        <v>108</v>
      </c>
      <c r="B29" s="18" t="s">
        <v>6</v>
      </c>
      <c r="C29" s="48" t="str">
        <f>VLOOKUP($A29,PERTANYAAN!$A$18:$E$71,3,0)</f>
        <v>Skill Mengemudi</v>
      </c>
      <c r="D29" s="49">
        <f>VLOOKUP($A29,PERTANYAAN!$A$18:$E$71,5,0)</f>
        <v>0.15</v>
      </c>
      <c r="E29" s="17"/>
      <c r="F29" s="16"/>
      <c r="G29" s="16"/>
      <c r="H29" s="11"/>
      <c r="I29" s="11"/>
      <c r="J29" s="11"/>
      <c r="K29" s="11"/>
      <c r="L29" s="11"/>
      <c r="M29" s="16">
        <f>IF(H29="V",$D29*H$15,IF(I29="V",$D29*I$15,IF(J29="V",$D29*J$15,IF(K29="V",$D29*K$15,IF(L29="V",$D29*L$15,0)))))*100</f>
        <v>0</v>
      </c>
      <c r="N29" s="15"/>
    </row>
    <row r="30" spans="1:14" x14ac:dyDescent="0.3">
      <c r="A30" s="66" t="s">
        <v>109</v>
      </c>
      <c r="B30" s="18" t="s">
        <v>6</v>
      </c>
      <c r="C30" s="48" t="str">
        <f>VLOOKUP($A30,PERTANYAAN!$A$18:$E$71,3,0)</f>
        <v>Flow Administrasi Logistik</v>
      </c>
      <c r="D30" s="49">
        <f>VLOOKUP($A30,PERTANYAAN!$A$18:$E$71,5,0)</f>
        <v>0.1</v>
      </c>
      <c r="E30" s="17"/>
      <c r="F30" s="16"/>
      <c r="G30" s="16"/>
      <c r="H30" s="11"/>
      <c r="I30" s="11"/>
      <c r="J30" s="11"/>
      <c r="K30" s="11"/>
      <c r="L30" s="11"/>
      <c r="M30" s="16">
        <f t="shared" ref="M30:M32" si="1">IF(H30="V",$D30*H$15,IF(I30="V",$D30*I$15,IF(J30="V",$D30*J$15,IF(K30="V",$D30*K$15,IF(L30="V",$D30*L$15,0)))))*100</f>
        <v>0</v>
      </c>
      <c r="N30" s="15"/>
    </row>
    <row r="31" spans="1:14" x14ac:dyDescent="0.3">
      <c r="A31" s="66" t="s">
        <v>110</v>
      </c>
      <c r="B31" s="18" t="s">
        <v>6</v>
      </c>
      <c r="C31" s="48" t="str">
        <f>VLOOKUP($A31,PERTANYAAN!$A$18:$E$71,3,0)</f>
        <v>Pengetahuan terkait logistik</v>
      </c>
      <c r="D31" s="49">
        <f>VLOOKUP($A31,PERTANYAAN!$A$18:$E$71,5,0)</f>
        <v>2.5000000000000001E-2</v>
      </c>
      <c r="E31" s="17"/>
      <c r="F31" s="16"/>
      <c r="G31" s="16"/>
      <c r="H31" s="11"/>
      <c r="I31" s="11"/>
      <c r="J31" s="11"/>
      <c r="K31" s="11"/>
      <c r="L31" s="11"/>
      <c r="M31" s="16">
        <f t="shared" si="1"/>
        <v>0</v>
      </c>
      <c r="N31" s="15"/>
    </row>
    <row r="32" spans="1:14" x14ac:dyDescent="0.3">
      <c r="A32" s="66" t="s">
        <v>111</v>
      </c>
      <c r="B32" s="18" t="s">
        <v>6</v>
      </c>
      <c r="C32" s="48" t="str">
        <f>VLOOKUP($A32,PERTANYAAN!$A$18:$E$71,3,0)</f>
        <v>Pengalaman di Bongkar Muat</v>
      </c>
      <c r="D32" s="49">
        <f>VLOOKUP($A32,PERTANYAAN!$A$18:$E$71,5,0)</f>
        <v>7.4999999999999997E-2</v>
      </c>
      <c r="E32" s="17"/>
      <c r="F32" s="16"/>
      <c r="G32" s="16"/>
      <c r="H32" s="11"/>
      <c r="I32" s="11"/>
      <c r="J32" s="11"/>
      <c r="K32" s="11"/>
      <c r="L32" s="11"/>
      <c r="M32" s="16">
        <f t="shared" si="1"/>
        <v>0</v>
      </c>
      <c r="N32" s="15"/>
    </row>
    <row r="33" spans="1:14" x14ac:dyDescent="0.3">
      <c r="A33" s="1"/>
      <c r="B33" s="18"/>
      <c r="C33" s="15"/>
      <c r="D33" s="17"/>
      <c r="E33" s="17"/>
      <c r="F33" s="16"/>
      <c r="G33" s="16"/>
      <c r="H33" s="11"/>
      <c r="I33" s="11"/>
      <c r="J33" s="11"/>
      <c r="K33" s="11"/>
      <c r="L33" s="11"/>
      <c r="M33" s="16"/>
      <c r="N33" s="15"/>
    </row>
    <row r="34" spans="1:14" hidden="1" outlineLevel="1" x14ac:dyDescent="0.3">
      <c r="A34" s="1"/>
      <c r="B34" s="18">
        <f>B28+1</f>
        <v>2</v>
      </c>
      <c r="C34" s="15" t="s">
        <v>22</v>
      </c>
      <c r="D34" s="17">
        <f>SUM(D35:D37)</f>
        <v>0.35</v>
      </c>
      <c r="E34" s="17"/>
      <c r="F34" s="16"/>
      <c r="G34" s="16"/>
      <c r="H34" s="11"/>
      <c r="I34" s="11"/>
      <c r="J34" s="11"/>
      <c r="K34" s="11"/>
      <c r="L34" s="11"/>
      <c r="M34" s="16"/>
      <c r="N34" s="15"/>
    </row>
    <row r="35" spans="1:14" hidden="1" outlineLevel="1" x14ac:dyDescent="0.3">
      <c r="A35" s="1"/>
      <c r="B35" s="18" t="s">
        <v>6</v>
      </c>
      <c r="C35" s="15" t="s">
        <v>44</v>
      </c>
      <c r="D35" s="17">
        <v>0.15</v>
      </c>
      <c r="E35" s="17"/>
      <c r="F35" s="16"/>
      <c r="G35" s="16"/>
      <c r="H35" s="11"/>
      <c r="I35" s="11"/>
      <c r="J35" s="11"/>
      <c r="K35" s="11"/>
      <c r="L35" s="11"/>
      <c r="M35" s="16"/>
      <c r="N35" s="15"/>
    </row>
    <row r="36" spans="1:14" hidden="1" outlineLevel="1" x14ac:dyDescent="0.3">
      <c r="A36" s="1"/>
      <c r="B36" s="18" t="s">
        <v>6</v>
      </c>
      <c r="C36" s="15" t="s">
        <v>50</v>
      </c>
      <c r="D36" s="17">
        <v>0.2</v>
      </c>
      <c r="E36" s="17"/>
      <c r="F36" s="16"/>
      <c r="G36" s="16"/>
      <c r="H36" s="11"/>
      <c r="I36" s="11"/>
      <c r="J36" s="11"/>
      <c r="K36" s="11"/>
      <c r="L36" s="11"/>
      <c r="M36" s="16"/>
      <c r="N36" s="15"/>
    </row>
    <row r="37" spans="1:14" hidden="1" outlineLevel="1" x14ac:dyDescent="0.3">
      <c r="A37" s="1"/>
      <c r="B37" s="18"/>
      <c r="C37" s="15"/>
      <c r="D37" s="17"/>
      <c r="E37" s="17"/>
      <c r="F37" s="16"/>
      <c r="G37" s="16"/>
      <c r="H37" s="11"/>
      <c r="I37" s="11"/>
      <c r="J37" s="11"/>
      <c r="K37" s="11"/>
      <c r="L37" s="11"/>
      <c r="M37" s="16"/>
      <c r="N37" s="15"/>
    </row>
    <row r="38" spans="1:14" hidden="1" outlineLevel="1" x14ac:dyDescent="0.3">
      <c r="A38" s="1"/>
      <c r="B38" s="14">
        <v>3</v>
      </c>
      <c r="C38" s="15" t="s">
        <v>23</v>
      </c>
      <c r="D38" s="17"/>
      <c r="E38" s="17"/>
      <c r="F38" s="16"/>
      <c r="G38" s="16"/>
      <c r="H38" s="11"/>
      <c r="I38" s="11"/>
      <c r="J38" s="11"/>
      <c r="K38" s="11"/>
      <c r="L38" s="11"/>
      <c r="M38" s="16"/>
      <c r="N38" s="15"/>
    </row>
    <row r="39" spans="1:14" hidden="1" outlineLevel="1" x14ac:dyDescent="0.3">
      <c r="A39" s="1"/>
      <c r="B39" s="18" t="s">
        <v>6</v>
      </c>
      <c r="C39" s="15" t="s">
        <v>52</v>
      </c>
      <c r="D39" s="17"/>
      <c r="E39" s="17"/>
      <c r="F39" s="16"/>
      <c r="G39" s="16"/>
      <c r="H39" s="11"/>
      <c r="I39" s="11"/>
      <c r="J39" s="11"/>
      <c r="K39" s="11"/>
      <c r="L39" s="11"/>
      <c r="M39" s="16"/>
      <c r="N39" s="15"/>
    </row>
    <row r="40" spans="1:14" hidden="1" outlineLevel="1" x14ac:dyDescent="0.3">
      <c r="A40" s="1"/>
      <c r="B40" s="18" t="s">
        <v>6</v>
      </c>
      <c r="C40" s="15" t="s">
        <v>53</v>
      </c>
      <c r="D40" s="17"/>
      <c r="E40" s="17"/>
      <c r="F40" s="16"/>
      <c r="G40" s="16"/>
      <c r="H40" s="11"/>
      <c r="I40" s="11"/>
      <c r="J40" s="11"/>
      <c r="K40" s="11"/>
      <c r="L40" s="11"/>
      <c r="M40" s="16"/>
      <c r="N40" s="15"/>
    </row>
    <row r="41" spans="1:14" hidden="1" outlineLevel="1" x14ac:dyDescent="0.3">
      <c r="A41" s="1"/>
      <c r="B41" s="18" t="s">
        <v>6</v>
      </c>
      <c r="C41" s="15"/>
      <c r="D41" s="17"/>
      <c r="E41" s="17"/>
      <c r="F41" s="16"/>
      <c r="G41" s="16"/>
      <c r="H41" s="11"/>
      <c r="I41" s="11"/>
      <c r="J41" s="11"/>
      <c r="K41" s="11"/>
      <c r="L41" s="11"/>
      <c r="M41" s="16"/>
      <c r="N41" s="15"/>
    </row>
    <row r="42" spans="1:14" hidden="1" outlineLevel="1" x14ac:dyDescent="0.3">
      <c r="A42" s="1"/>
      <c r="B42" s="14"/>
      <c r="C42" s="15"/>
      <c r="D42" s="17"/>
      <c r="E42" s="17"/>
      <c r="F42" s="16"/>
      <c r="G42" s="16"/>
      <c r="H42" s="11"/>
      <c r="I42" s="11"/>
      <c r="J42" s="11"/>
      <c r="K42" s="11"/>
      <c r="L42" s="11"/>
      <c r="M42" s="16"/>
      <c r="N42" s="15"/>
    </row>
    <row r="43" spans="1:14" s="2" customFormat="1" collapsed="1" x14ac:dyDescent="0.3">
      <c r="A43" s="3"/>
      <c r="B43" s="51" t="s">
        <v>97</v>
      </c>
      <c r="C43" s="52" t="s">
        <v>24</v>
      </c>
      <c r="D43" s="54">
        <f>D44</f>
        <v>0.25</v>
      </c>
      <c r="E43" s="54"/>
      <c r="F43" s="57"/>
      <c r="G43" s="57"/>
      <c r="H43" s="62"/>
      <c r="I43" s="62"/>
      <c r="J43" s="62"/>
      <c r="K43" s="62"/>
      <c r="L43" s="62"/>
      <c r="M43" s="57">
        <f>M44</f>
        <v>0</v>
      </c>
      <c r="N43" s="52"/>
    </row>
    <row r="44" spans="1:14" x14ac:dyDescent="0.3">
      <c r="A44" s="1" t="s">
        <v>112</v>
      </c>
      <c r="B44" s="14">
        <v>1</v>
      </c>
      <c r="C44" s="48" t="str">
        <f>VLOOKUP($A44,PERTANYAAN!$A$18:$E$71,3,0)</f>
        <v>Staff</v>
      </c>
      <c r="D44" s="49">
        <f>VLOOKUP($A44,PERTANYAAN!$A$18:$E$71,5,0)</f>
        <v>0.25</v>
      </c>
      <c r="E44" s="17"/>
      <c r="F44" s="16"/>
      <c r="G44" s="16"/>
      <c r="H44" s="11"/>
      <c r="I44" s="11"/>
      <c r="J44" s="11"/>
      <c r="K44" s="11"/>
      <c r="L44" s="11"/>
      <c r="M44" s="16">
        <f>SUM(M45:M48)</f>
        <v>0</v>
      </c>
      <c r="N44" s="15"/>
    </row>
    <row r="45" spans="1:14" x14ac:dyDescent="0.3">
      <c r="A45" s="66" t="s">
        <v>113</v>
      </c>
      <c r="B45" s="18" t="s">
        <v>6</v>
      </c>
      <c r="C45" s="48" t="str">
        <f>VLOOKUP($A45,PERTANYAAN!$A$18:$E$71,3,0)</f>
        <v>Kepemimpinan</v>
      </c>
      <c r="D45" s="49">
        <f>VLOOKUP($A45,PERTANYAAN!$A$18:$E$71,5,0)</f>
        <v>2.5000000000000001E-2</v>
      </c>
      <c r="E45" s="17"/>
      <c r="F45" s="16"/>
      <c r="G45" s="16"/>
      <c r="H45" s="11"/>
      <c r="I45" s="11"/>
      <c r="J45" s="11"/>
      <c r="K45" s="11"/>
      <c r="L45" s="11"/>
      <c r="M45" s="16">
        <f>IF(H45="V",$D45*H$15,IF(I45="V",$D45*I$15,IF(J45="V",$D45*J$15,IF(K45="V",$D45*K$15,IF(L45="V",$D45*L$15,0)))))*100</f>
        <v>0</v>
      </c>
      <c r="N45" s="15"/>
    </row>
    <row r="46" spans="1:14" x14ac:dyDescent="0.3">
      <c r="A46" s="66" t="s">
        <v>114</v>
      </c>
      <c r="B46" s="18" t="s">
        <v>6</v>
      </c>
      <c r="C46" s="48" t="str">
        <f>VLOOKUP($A46,PERTANYAAN!$A$18:$E$71,3,0)</f>
        <v>Komunikasi</v>
      </c>
      <c r="D46" s="49">
        <f>VLOOKUP($A46,PERTANYAAN!$A$18:$E$71,5,0)</f>
        <v>0.1</v>
      </c>
      <c r="E46" s="17"/>
      <c r="F46" s="16"/>
      <c r="G46" s="16"/>
      <c r="H46" s="11"/>
      <c r="I46" s="11"/>
      <c r="J46" s="11"/>
      <c r="K46" s="11"/>
      <c r="L46" s="11"/>
      <c r="M46" s="16">
        <f>IF(H46="V",$D46*H$15,IF(I46="V",$D46*I$15,IF(J46="V",$D46*J$15,IF(K46="V",$D46*K$15,IF(L46="V",$D46*L$15,0)))))*100</f>
        <v>0</v>
      </c>
      <c r="N46" s="15"/>
    </row>
    <row r="47" spans="1:14" x14ac:dyDescent="0.3">
      <c r="A47" s="66" t="s">
        <v>115</v>
      </c>
      <c r="B47" s="18" t="s">
        <v>6</v>
      </c>
      <c r="C47" s="48" t="str">
        <f>VLOOKUP($A47,PERTANYAAN!$A$18:$E$71,3,0)</f>
        <v>Patuh pada Peraturan / Commitment</v>
      </c>
      <c r="D47" s="49">
        <f>VLOOKUP($A47,PERTANYAAN!$A$18:$E$71,5,0)</f>
        <v>0.05</v>
      </c>
      <c r="E47" s="17"/>
      <c r="F47" s="16"/>
      <c r="G47" s="16"/>
      <c r="H47" s="11"/>
      <c r="I47" s="11"/>
      <c r="J47" s="11"/>
      <c r="K47" s="11"/>
      <c r="L47" s="11"/>
      <c r="M47" s="16">
        <f>IF(H47="V",$D47*H$15,IF(I47="V",$D47*I$15,IF(J47="V",$D47*J$15,IF(K47="V",$D47*K$15,IF(L47="V",$D47*L$15,0)))))*100</f>
        <v>0</v>
      </c>
      <c r="N47" s="15"/>
    </row>
    <row r="48" spans="1:14" x14ac:dyDescent="0.3">
      <c r="A48" s="66" t="s">
        <v>116</v>
      </c>
      <c r="B48" s="18" t="s">
        <v>6</v>
      </c>
      <c r="C48" s="48" t="str">
        <f>VLOOKUP($A48,PERTANYAAN!$A$18:$E$71,3,0)</f>
        <v>Determinasi thd tekanan</v>
      </c>
      <c r="D48" s="49">
        <f>VLOOKUP($A48,PERTANYAAN!$A$18:$E$71,5,0)</f>
        <v>7.4999999999999997E-2</v>
      </c>
      <c r="E48" s="17"/>
      <c r="F48" s="16"/>
      <c r="G48" s="16"/>
      <c r="H48" s="11"/>
      <c r="I48" s="11"/>
      <c r="J48" s="11"/>
      <c r="K48" s="11"/>
      <c r="L48" s="11"/>
      <c r="M48" s="16">
        <f>IF(H48="V",$D48*H$15,IF(I48="V",$D48*I$15,IF(J48="V",$D48*J$15,IF(K48="V",$D48*K$15,IF(L48="V",$D48*L$15,0)))))*100</f>
        <v>0</v>
      </c>
      <c r="N48" s="15"/>
    </row>
    <row r="49" spans="1:14" x14ac:dyDescent="0.3">
      <c r="A49" s="1"/>
      <c r="B49" s="18"/>
      <c r="C49" s="15"/>
      <c r="D49" s="17"/>
      <c r="E49" s="17"/>
      <c r="F49" s="16"/>
      <c r="G49" s="16"/>
      <c r="H49" s="11"/>
      <c r="I49" s="11"/>
      <c r="J49" s="11"/>
      <c r="K49" s="11"/>
      <c r="L49" s="11"/>
      <c r="M49" s="16"/>
      <c r="N49" s="15"/>
    </row>
    <row r="50" spans="1:14" hidden="1" outlineLevel="1" x14ac:dyDescent="0.3">
      <c r="A50" s="1"/>
      <c r="B50" s="14">
        <v>2</v>
      </c>
      <c r="C50" s="15" t="s">
        <v>26</v>
      </c>
      <c r="D50" s="17"/>
      <c r="E50" s="17"/>
      <c r="F50" s="16"/>
      <c r="G50" s="16"/>
      <c r="H50" s="11"/>
      <c r="I50" s="11"/>
      <c r="J50" s="11"/>
      <c r="K50" s="11"/>
      <c r="L50" s="11"/>
      <c r="M50" s="16"/>
      <c r="N50" s="15"/>
    </row>
    <row r="51" spans="1:14" hidden="1" outlineLevel="1" x14ac:dyDescent="0.3">
      <c r="A51" s="1"/>
      <c r="B51" s="18" t="s">
        <v>6</v>
      </c>
      <c r="C51" s="15" t="s">
        <v>54</v>
      </c>
      <c r="D51" s="17"/>
      <c r="E51" s="17"/>
      <c r="F51" s="16"/>
      <c r="G51" s="16"/>
      <c r="H51" s="11"/>
      <c r="I51" s="11"/>
      <c r="J51" s="11"/>
      <c r="K51" s="11"/>
      <c r="L51" s="11"/>
      <c r="M51" s="16"/>
      <c r="N51" s="15"/>
    </row>
    <row r="52" spans="1:14" hidden="1" outlineLevel="1" x14ac:dyDescent="0.3">
      <c r="A52" s="1"/>
      <c r="B52" s="18" t="s">
        <v>6</v>
      </c>
      <c r="C52" s="15" t="s">
        <v>55</v>
      </c>
      <c r="D52" s="17"/>
      <c r="E52" s="17"/>
      <c r="F52" s="16"/>
      <c r="G52" s="16"/>
      <c r="H52" s="11"/>
      <c r="I52" s="11"/>
      <c r="J52" s="11"/>
      <c r="K52" s="11"/>
      <c r="L52" s="11"/>
      <c r="M52" s="16"/>
      <c r="N52" s="15"/>
    </row>
    <row r="53" spans="1:14" hidden="1" outlineLevel="1" x14ac:dyDescent="0.3">
      <c r="A53" s="1"/>
      <c r="B53" s="18" t="s">
        <v>6</v>
      </c>
      <c r="C53" s="15" t="s">
        <v>56</v>
      </c>
      <c r="D53" s="17"/>
      <c r="E53" s="17"/>
      <c r="F53" s="16"/>
      <c r="G53" s="16"/>
      <c r="H53" s="11"/>
      <c r="I53" s="11"/>
      <c r="J53" s="11"/>
      <c r="K53" s="11"/>
      <c r="L53" s="11"/>
      <c r="M53" s="16"/>
      <c r="N53" s="15"/>
    </row>
    <row r="54" spans="1:14" hidden="1" outlineLevel="1" x14ac:dyDescent="0.3">
      <c r="A54" s="1"/>
      <c r="B54" s="18"/>
      <c r="C54" s="15"/>
      <c r="D54" s="17"/>
      <c r="E54" s="17"/>
      <c r="F54" s="16"/>
      <c r="G54" s="16"/>
      <c r="H54" s="11"/>
      <c r="I54" s="11"/>
      <c r="J54" s="11"/>
      <c r="K54" s="11"/>
      <c r="L54" s="11"/>
      <c r="M54" s="16"/>
      <c r="N54" s="15"/>
    </row>
    <row r="55" spans="1:14" hidden="1" outlineLevel="1" x14ac:dyDescent="0.3">
      <c r="A55" s="1"/>
      <c r="B55" s="14">
        <v>3</v>
      </c>
      <c r="C55" s="15" t="s">
        <v>27</v>
      </c>
      <c r="D55" s="17"/>
      <c r="E55" s="17"/>
      <c r="F55" s="16"/>
      <c r="G55" s="16"/>
      <c r="H55" s="11"/>
      <c r="I55" s="11"/>
      <c r="J55" s="11"/>
      <c r="K55" s="11"/>
      <c r="L55" s="11"/>
      <c r="M55" s="16"/>
      <c r="N55" s="15"/>
    </row>
    <row r="56" spans="1:14" hidden="1" outlineLevel="1" x14ac:dyDescent="0.3">
      <c r="A56" s="1"/>
      <c r="B56" s="18" t="s">
        <v>6</v>
      </c>
      <c r="C56" s="15" t="s">
        <v>54</v>
      </c>
      <c r="D56" s="17"/>
      <c r="E56" s="17"/>
      <c r="F56" s="16"/>
      <c r="G56" s="16"/>
      <c r="H56" s="11"/>
      <c r="I56" s="11"/>
      <c r="J56" s="11"/>
      <c r="K56" s="11"/>
      <c r="L56" s="11"/>
      <c r="M56" s="16"/>
      <c r="N56" s="15"/>
    </row>
    <row r="57" spans="1:14" hidden="1" outlineLevel="1" x14ac:dyDescent="0.3">
      <c r="A57" s="1"/>
      <c r="B57" s="18" t="s">
        <v>6</v>
      </c>
      <c r="C57" s="15" t="s">
        <v>56</v>
      </c>
      <c r="D57" s="17"/>
      <c r="E57" s="17"/>
      <c r="F57" s="16"/>
      <c r="G57" s="16"/>
      <c r="H57" s="11"/>
      <c r="I57" s="11"/>
      <c r="J57" s="11"/>
      <c r="K57" s="11"/>
      <c r="L57" s="11"/>
      <c r="M57" s="16"/>
      <c r="N57" s="15"/>
    </row>
    <row r="58" spans="1:14" hidden="1" outlineLevel="1" x14ac:dyDescent="0.3">
      <c r="A58" s="1"/>
      <c r="B58" s="18" t="s">
        <v>6</v>
      </c>
      <c r="C58" s="15" t="s">
        <v>57</v>
      </c>
      <c r="D58" s="17"/>
      <c r="E58" s="17"/>
      <c r="F58" s="16"/>
      <c r="G58" s="16"/>
      <c r="H58" s="11"/>
      <c r="I58" s="11"/>
      <c r="J58" s="11"/>
      <c r="K58" s="11"/>
      <c r="L58" s="11"/>
      <c r="M58" s="16"/>
      <c r="N58" s="15"/>
    </row>
    <row r="59" spans="1:14" hidden="1" outlineLevel="1" x14ac:dyDescent="0.3">
      <c r="A59" s="1"/>
      <c r="B59" s="14"/>
      <c r="C59" s="15"/>
      <c r="D59" s="17"/>
      <c r="E59" s="17"/>
      <c r="F59" s="16"/>
      <c r="G59" s="16"/>
      <c r="H59" s="11"/>
      <c r="I59" s="11"/>
      <c r="J59" s="11"/>
      <c r="K59" s="11"/>
      <c r="L59" s="11"/>
      <c r="M59" s="16"/>
      <c r="N59" s="15"/>
    </row>
    <row r="60" spans="1:14" s="2" customFormat="1" collapsed="1" x14ac:dyDescent="0.3">
      <c r="A60" s="3"/>
      <c r="B60" s="51" t="s">
        <v>98</v>
      </c>
      <c r="C60" s="52" t="s">
        <v>46</v>
      </c>
      <c r="D60" s="54">
        <f>SUM(D61:D64)</f>
        <v>0.15</v>
      </c>
      <c r="E60" s="54"/>
      <c r="F60" s="57"/>
      <c r="G60" s="57"/>
      <c r="H60" s="62"/>
      <c r="I60" s="62"/>
      <c r="J60" s="62"/>
      <c r="K60" s="62"/>
      <c r="L60" s="62"/>
      <c r="M60" s="57">
        <f>SUM(M61:M64)</f>
        <v>0</v>
      </c>
      <c r="N60" s="52"/>
    </row>
    <row r="61" spans="1:14" x14ac:dyDescent="0.3">
      <c r="A61" s="66" t="s">
        <v>117</v>
      </c>
      <c r="B61" s="18" t="s">
        <v>6</v>
      </c>
      <c r="C61" s="48" t="str">
        <f>VLOOKUP($A61,PERTANYAAN!$A$18:$E$71,3,0)</f>
        <v>Antusiasme / Keinginan bergabung</v>
      </c>
      <c r="D61" s="49">
        <f>VLOOKUP($A61,PERTANYAAN!$A$18:$E$71,5,0)</f>
        <v>7.4999999999999997E-2</v>
      </c>
      <c r="E61" s="17"/>
      <c r="F61" s="16"/>
      <c r="G61" s="16"/>
      <c r="H61" s="11"/>
      <c r="I61" s="11"/>
      <c r="J61" s="11"/>
      <c r="K61" s="11"/>
      <c r="L61" s="11"/>
      <c r="M61" s="16">
        <f t="shared" ref="M61:M63" si="2">IF(H61="V",$D61*H$15,IF(I61="V",$D61*I$15,IF(J61="V",$D61*J$15,IF(K61="V",$D61*K$15,IF(L61="V",$D61*L$15,0)))))*100</f>
        <v>0</v>
      </c>
      <c r="N61" s="15"/>
    </row>
    <row r="62" spans="1:14" x14ac:dyDescent="0.3">
      <c r="A62" s="66" t="s">
        <v>118</v>
      </c>
      <c r="B62" s="18" t="s">
        <v>6</v>
      </c>
      <c r="C62" s="48" t="str">
        <f>VLOOKUP($A62,PERTANYAAN!$A$18:$E$71,3,0)</f>
        <v>Inisiatif</v>
      </c>
      <c r="D62" s="49">
        <f>VLOOKUP($A62,PERTANYAAN!$A$18:$E$71,5,0)</f>
        <v>0.05</v>
      </c>
      <c r="E62" s="17"/>
      <c r="F62" s="16"/>
      <c r="G62" s="16"/>
      <c r="H62" s="11"/>
      <c r="I62" s="11"/>
      <c r="J62" s="11"/>
      <c r="K62" s="11"/>
      <c r="L62" s="11"/>
      <c r="M62" s="16">
        <f t="shared" si="2"/>
        <v>0</v>
      </c>
      <c r="N62" s="15"/>
    </row>
    <row r="63" spans="1:14" x14ac:dyDescent="0.3">
      <c r="A63" s="66" t="s">
        <v>119</v>
      </c>
      <c r="B63" s="18" t="s">
        <v>6</v>
      </c>
      <c r="C63" s="48" t="str">
        <f>VLOOKUP($A63,PERTANYAAN!$A$18:$E$71,3,0)</f>
        <v>Adaptif</v>
      </c>
      <c r="D63" s="49">
        <f>VLOOKUP($A63,PERTANYAAN!$A$18:$E$71,5,0)</f>
        <v>2.5000000000000001E-2</v>
      </c>
      <c r="E63" s="17"/>
      <c r="F63" s="16"/>
      <c r="G63" s="16"/>
      <c r="H63" s="11"/>
      <c r="I63" s="11"/>
      <c r="J63" s="11"/>
      <c r="K63" s="11"/>
      <c r="L63" s="11"/>
      <c r="M63" s="16">
        <f t="shared" si="2"/>
        <v>0</v>
      </c>
      <c r="N63" s="15"/>
    </row>
    <row r="64" spans="1:14" x14ac:dyDescent="0.3">
      <c r="A64" s="1"/>
      <c r="B64" s="14"/>
      <c r="C64" s="15"/>
      <c r="D64" s="17"/>
      <c r="E64" s="17"/>
      <c r="F64" s="16"/>
      <c r="G64" s="16"/>
      <c r="H64" s="11"/>
      <c r="I64" s="11"/>
      <c r="J64" s="11"/>
      <c r="K64" s="11"/>
      <c r="L64" s="11"/>
      <c r="M64" s="16"/>
      <c r="N64" s="15"/>
    </row>
    <row r="65" spans="1:14" s="2" customFormat="1" x14ac:dyDescent="0.3">
      <c r="A65" s="3"/>
      <c r="B65" s="51" t="s">
        <v>99</v>
      </c>
      <c r="C65" s="52" t="s">
        <v>48</v>
      </c>
      <c r="D65" s="54">
        <f>SUM(D66:D68)</f>
        <v>0.05</v>
      </c>
      <c r="E65" s="54"/>
      <c r="F65" s="57"/>
      <c r="G65" s="57"/>
      <c r="H65" s="62"/>
      <c r="I65" s="62"/>
      <c r="J65" s="62"/>
      <c r="K65" s="62"/>
      <c r="L65" s="62"/>
      <c r="M65" s="57">
        <f>SUM(M66:M68)</f>
        <v>0</v>
      </c>
      <c r="N65" s="52"/>
    </row>
    <row r="66" spans="1:14" x14ac:dyDescent="0.3">
      <c r="A66" s="66" t="s">
        <v>120</v>
      </c>
      <c r="B66" s="18" t="s">
        <v>6</v>
      </c>
      <c r="C66" s="48" t="str">
        <f>VLOOKUP($A66,PERTANYAAN!$A$18:$E$71,3,0)</f>
        <v>Ekspektasi Salary (Mengukur Budget &amp; Skill)</v>
      </c>
      <c r="D66" s="49">
        <f>VLOOKUP($A66,PERTANYAAN!$A$18:$E$71,5,0)</f>
        <v>0.04</v>
      </c>
      <c r="E66" s="17"/>
      <c r="F66" s="16"/>
      <c r="G66" s="16"/>
      <c r="H66" s="11"/>
      <c r="I66" s="11"/>
      <c r="J66" s="11"/>
      <c r="K66" s="11"/>
      <c r="L66" s="11"/>
      <c r="M66" s="16">
        <f t="shared" ref="M66:M67" si="3">IF(H66="V",$D66*H$15,IF(I66="V",$D66*I$15,IF(J66="V",$D66*J$15,IF(K66="V",$D66*K$15,IF(L66="V",$D66*L$15,0)))))*100</f>
        <v>0</v>
      </c>
      <c r="N66" s="15"/>
    </row>
    <row r="67" spans="1:14" x14ac:dyDescent="0.3">
      <c r="A67" s="66" t="s">
        <v>121</v>
      </c>
      <c r="B67" s="18" t="s">
        <v>6</v>
      </c>
      <c r="C67" s="48" t="str">
        <f>VLOOKUP($A67,PERTANYAAN!$A$18:$E$71,3,0)</f>
        <v>Tujuan Karir</v>
      </c>
      <c r="D67" s="49">
        <f>VLOOKUP($A67,PERTANYAAN!$A$18:$E$71,5,0)</f>
        <v>0.01</v>
      </c>
      <c r="E67" s="17"/>
      <c r="F67" s="16"/>
      <c r="G67" s="16"/>
      <c r="H67" s="11"/>
      <c r="I67" s="11"/>
      <c r="J67" s="11"/>
      <c r="K67" s="11"/>
      <c r="L67" s="11"/>
      <c r="M67" s="16">
        <f t="shared" si="3"/>
        <v>0</v>
      </c>
      <c r="N67" s="15"/>
    </row>
    <row r="68" spans="1:14" x14ac:dyDescent="0.3">
      <c r="A68" s="66"/>
      <c r="B68" s="14"/>
      <c r="C68" s="15"/>
      <c r="D68" s="17"/>
      <c r="E68" s="17"/>
      <c r="F68" s="16"/>
      <c r="G68" s="16"/>
      <c r="H68" s="11"/>
      <c r="I68" s="11"/>
      <c r="J68" s="11"/>
      <c r="K68" s="11"/>
      <c r="L68" s="11"/>
      <c r="M68" s="16"/>
      <c r="N68" s="15"/>
    </row>
    <row r="69" spans="1:14" s="2" customFormat="1" x14ac:dyDescent="0.3">
      <c r="A69" s="3"/>
      <c r="B69" s="51" t="s">
        <v>100</v>
      </c>
      <c r="C69" s="52" t="s">
        <v>134</v>
      </c>
      <c r="D69" s="54">
        <f>SUM(D70:D70)</f>
        <v>0.05</v>
      </c>
      <c r="E69" s="54"/>
      <c r="F69" s="57"/>
      <c r="G69" s="57"/>
      <c r="H69" s="62"/>
      <c r="I69" s="62"/>
      <c r="J69" s="62"/>
      <c r="K69" s="62"/>
      <c r="L69" s="62"/>
      <c r="M69" s="57">
        <f>SUM(M70)</f>
        <v>0</v>
      </c>
      <c r="N69" s="52"/>
    </row>
    <row r="70" spans="1:14" x14ac:dyDescent="0.3">
      <c r="A70" s="66" t="s">
        <v>122</v>
      </c>
      <c r="B70" s="18" t="s">
        <v>6</v>
      </c>
      <c r="C70" s="48" t="str">
        <f>VLOOKUP($A70,PERTANYAAN!$A$18:$E$71,3,0)</f>
        <v>Pertanyaan Spesifik User</v>
      </c>
      <c r="D70" s="49">
        <f>VLOOKUP($A70,PERTANYAAN!$A$18:$E$71,5,0)</f>
        <v>0.05</v>
      </c>
      <c r="E70" s="17"/>
      <c r="F70" s="16"/>
      <c r="G70" s="16"/>
      <c r="H70" s="11"/>
      <c r="I70" s="11"/>
      <c r="J70" s="11"/>
      <c r="K70" s="11"/>
      <c r="L70" s="11"/>
      <c r="M70" s="16">
        <f t="shared" ref="M70" si="4">IF(H70="V",$D70*H$15,IF(I70="V",$D70*I$15,IF(J70="V",$D70*J$15,IF(K70="V",$D70*K$15,IF(L70="V",$D70*L$15,0)))))*100</f>
        <v>0</v>
      </c>
      <c r="N70" s="15"/>
    </row>
    <row r="71" spans="1:14" x14ac:dyDescent="0.3">
      <c r="B71" s="19"/>
      <c r="C71" s="20"/>
      <c r="D71" s="22"/>
      <c r="E71" s="22"/>
      <c r="F71" s="21"/>
      <c r="G71" s="21"/>
      <c r="H71" s="23"/>
      <c r="I71" s="23"/>
      <c r="J71" s="23"/>
      <c r="K71" s="23"/>
      <c r="L71" s="23"/>
      <c r="M71" s="21"/>
      <c r="N71" s="20"/>
    </row>
    <row r="73" spans="1:14" x14ac:dyDescent="0.3">
      <c r="C73" t="s">
        <v>165</v>
      </c>
    </row>
    <row r="77" spans="1:14" x14ac:dyDescent="0.3">
      <c r="H77" s="26" t="s">
        <v>61</v>
      </c>
    </row>
    <row r="78" spans="1:14" x14ac:dyDescent="0.3">
      <c r="H78" s="7" t="s">
        <v>39</v>
      </c>
      <c r="I78" s="7" t="s">
        <v>29</v>
      </c>
      <c r="J78" s="25" t="s">
        <v>69</v>
      </c>
    </row>
    <row r="79" spans="1:14" x14ac:dyDescent="0.3">
      <c r="H79" s="7" t="s">
        <v>40</v>
      </c>
      <c r="I79" s="7" t="s">
        <v>29</v>
      </c>
      <c r="J79" s="25" t="s">
        <v>70</v>
      </c>
    </row>
    <row r="80" spans="1:14" x14ac:dyDescent="0.3">
      <c r="H80" s="7" t="s">
        <v>41</v>
      </c>
      <c r="I80" s="7" t="s">
        <v>29</v>
      </c>
      <c r="J80" s="25" t="s">
        <v>71</v>
      </c>
    </row>
    <row r="81" spans="3:14" x14ac:dyDescent="0.3">
      <c r="H81" s="7" t="s">
        <v>42</v>
      </c>
      <c r="I81" s="7" t="s">
        <v>29</v>
      </c>
      <c r="J81" s="25" t="s">
        <v>72</v>
      </c>
    </row>
    <row r="82" spans="3:14" x14ac:dyDescent="0.3">
      <c r="H82" s="7" t="s">
        <v>43</v>
      </c>
      <c r="I82" s="7" t="s">
        <v>29</v>
      </c>
      <c r="J82" s="25" t="s">
        <v>73</v>
      </c>
    </row>
    <row r="84" spans="3:14" x14ac:dyDescent="0.3">
      <c r="C84" t="s">
        <v>159</v>
      </c>
    </row>
    <row r="85" spans="3:14" x14ac:dyDescent="0.3">
      <c r="C85" s="87" t="s">
        <v>160</v>
      </c>
      <c r="F85" s="88"/>
      <c r="G85" s="88"/>
      <c r="H85" s="88"/>
      <c r="I85" s="88"/>
      <c r="J85" s="88"/>
      <c r="K85" s="88"/>
      <c r="L85" s="88"/>
      <c r="M85" s="88"/>
      <c r="N85" s="86"/>
    </row>
    <row r="86" spans="3:14" x14ac:dyDescent="0.3">
      <c r="C86" s="87"/>
      <c r="F86" s="88"/>
      <c r="G86" s="88"/>
      <c r="H86" s="88"/>
      <c r="I86" s="88"/>
      <c r="J86" s="88"/>
      <c r="K86" s="88"/>
      <c r="L86" s="88"/>
      <c r="M86" s="88"/>
      <c r="N86" s="86"/>
    </row>
    <row r="89" spans="3:14" x14ac:dyDescent="0.3">
      <c r="C89" t="s">
        <v>161</v>
      </c>
    </row>
    <row r="90" spans="3:14" x14ac:dyDescent="0.3">
      <c r="C90" t="s">
        <v>162</v>
      </c>
      <c r="N90" t="s">
        <v>163</v>
      </c>
    </row>
    <row r="91" spans="3:14" x14ac:dyDescent="0.3">
      <c r="M91" s="89">
        <v>1</v>
      </c>
    </row>
    <row r="92" spans="3:14" x14ac:dyDescent="0.3">
      <c r="M92" s="89">
        <v>2</v>
      </c>
    </row>
    <row r="93" spans="3:14" x14ac:dyDescent="0.3">
      <c r="M93" s="89"/>
    </row>
    <row r="94" spans="3:14" x14ac:dyDescent="0.3">
      <c r="M94" s="89"/>
      <c r="N94" t="s">
        <v>164</v>
      </c>
    </row>
    <row r="95" spans="3:14" x14ac:dyDescent="0.3">
      <c r="M95" s="89">
        <v>1</v>
      </c>
    </row>
    <row r="96" spans="3:14" x14ac:dyDescent="0.3">
      <c r="M96" s="89">
        <v>2</v>
      </c>
    </row>
  </sheetData>
  <mergeCells count="10">
    <mergeCell ref="C85:C86"/>
    <mergeCell ref="N85:N86"/>
    <mergeCell ref="M13:M14"/>
    <mergeCell ref="N13:N14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PERTANYAAN</vt:lpstr>
      <vt:lpstr>REKAP</vt:lpstr>
      <vt:lpstr>RESUME</vt:lpstr>
      <vt:lpstr>PENILAIAN-HR</vt:lpstr>
      <vt:lpstr>PENILAIAN-ILHAM</vt:lpstr>
      <vt:lpstr>PENILAIAN-DICKY</vt:lpstr>
      <vt:lpstr>PENILAIAN-DONY</vt:lpstr>
      <vt:lpstr>PENILAIAN-IQBAL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Anggy Putra</dc:creator>
  <cp:lastModifiedBy>Muchlis Arif</cp:lastModifiedBy>
  <dcterms:created xsi:type="dcterms:W3CDTF">2026-03-15T09:24:46Z</dcterms:created>
  <dcterms:modified xsi:type="dcterms:W3CDTF">2026-04-28T09:05:29Z</dcterms:modified>
</cp:coreProperties>
</file>